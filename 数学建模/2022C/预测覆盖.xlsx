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表单1" sheetId="2" r:id="rId1"/>
    <sheet name="表单2" sheetId="1" r:id="rId2"/>
    <sheet name="表单2 (2)" sheetId="3" r:id="rId3"/>
    <sheet name="表单2 (4)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<sst xmlns="http://schemas.openxmlformats.org/spreadsheetml/2006/main" count="482" uniqueCount="116">
  <si>
    <t>文物编号</t>
  </si>
  <si>
    <t>纹饰</t>
  </si>
  <si>
    <t>类型</t>
  </si>
  <si>
    <t>颜色</t>
  </si>
  <si>
    <t>表面风化</t>
  </si>
  <si>
    <t>01</t>
  </si>
  <si>
    <t>C</t>
  </si>
  <si>
    <t>高钾</t>
  </si>
  <si>
    <t>蓝绿</t>
  </si>
  <si>
    <t>无风化</t>
  </si>
  <si>
    <t>02</t>
  </si>
  <si>
    <t>A</t>
  </si>
  <si>
    <t>铅钡</t>
  </si>
  <si>
    <t>浅蓝</t>
  </si>
  <si>
    <t>风化</t>
  </si>
  <si>
    <t>03</t>
  </si>
  <si>
    <t>04</t>
  </si>
  <si>
    <t>05</t>
  </si>
  <si>
    <t>06</t>
  </si>
  <si>
    <t>07</t>
  </si>
  <si>
    <t>B</t>
  </si>
  <si>
    <t>08</t>
  </si>
  <si>
    <t>紫</t>
  </si>
  <si>
    <t>09</t>
  </si>
  <si>
    <t>10</t>
  </si>
  <si>
    <t>11</t>
  </si>
  <si>
    <t>12</t>
  </si>
  <si>
    <t>13</t>
  </si>
  <si>
    <t>14</t>
  </si>
  <si>
    <t>深绿</t>
  </si>
  <si>
    <t>15</t>
  </si>
  <si>
    <t>16</t>
  </si>
  <si>
    <t>17</t>
  </si>
  <si>
    <t>18</t>
  </si>
  <si>
    <t>深蓝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</si>
  <si>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</si>
  <si>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</si>
  <si>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</si>
  <si>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</si>
  <si>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</si>
  <si>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</si>
  <si>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</si>
  <si>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</si>
  <si>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</si>
  <si>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</si>
  <si>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</si>
  <si>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</si>
  <si>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</si>
  <si>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</si>
  <si>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浅绿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</si>
  <si>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</si>
  <si>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</si>
  <si>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</si>
  <si>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</si>
  <si>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</si>
  <si>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</si>
  <si>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</si>
  <si>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</si>
  <si>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</si>
  <si>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</si>
  <si>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</si>
  <si>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</si>
  <si>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</si>
  <si>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</si>
  <si>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</si>
  <si>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</si>
  <si>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</si>
  <si>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黑</t>
  </si>
  <si>
    <t>50</t>
  </si>
  <si>
    <t>51</t>
  </si>
  <si>
    <t>52</t>
  </si>
  <si>
    <t>53</t>
  </si>
  <si>
    <t>54</t>
  </si>
  <si>
    <t>55</t>
  </si>
  <si>
    <t>绿</t>
  </si>
  <si>
    <t>56</t>
  </si>
  <si>
    <t>57</t>
  </si>
  <si>
    <t>58</t>
  </si>
  <si>
    <t>文物采样点</t>
  </si>
  <si>
    <t>二氧化硅(SiO2)</t>
  </si>
  <si>
    <t>氧化钠(Na2O)</t>
  </si>
  <si>
    <t>氧化钾(K2O)</t>
  </si>
  <si>
    <t>氧化钙(CaO)</t>
  </si>
  <si>
    <t>氧化镁(MgO)</t>
  </si>
  <si>
    <t>氧化铝(Al2O3)</t>
  </si>
  <si>
    <t>氧化铁(Fe2O3)</t>
  </si>
  <si>
    <t>氧化铜(CuO)</t>
  </si>
  <si>
    <t>氧化铅(PbO)</t>
  </si>
  <si>
    <t>氧化钡(BaO)</t>
  </si>
  <si>
    <t>五氧化二磷(P2O5)</t>
  </si>
  <si>
    <t>氧化锶(SrO)</t>
  </si>
  <si>
    <t>氧化锡(SnO2)</t>
  </si>
  <si>
    <t>二氧化硫(SO2)</t>
  </si>
  <si>
    <t>03部位1</t>
  </si>
  <si>
    <t>03部位2</t>
  </si>
  <si>
    <t>06部位1</t>
  </si>
  <si>
    <t>06部位2</t>
  </si>
  <si>
    <t>08严重风化点</t>
  </si>
  <si>
    <t>23未风化点</t>
  </si>
  <si>
    <t>25未风化点</t>
  </si>
  <si>
    <t>26严重风化点</t>
  </si>
  <si>
    <t>28未风化点</t>
  </si>
  <si>
    <t>29未风化点</t>
  </si>
  <si>
    <t>30部位1</t>
  </si>
  <si>
    <t>30部位2</t>
  </si>
  <si>
    <t>42未风化点1</t>
  </si>
  <si>
    <t>42未风化点2</t>
  </si>
  <si>
    <t>43部位1</t>
  </si>
  <si>
    <t>43部位2</t>
  </si>
  <si>
    <t>44未风化点</t>
  </si>
  <si>
    <t>49未风化点</t>
  </si>
  <si>
    <t>50未风化点</t>
  </si>
  <si>
    <t>51部位1</t>
  </si>
  <si>
    <t>51部位2</t>
  </si>
  <si>
    <t>53未风化点</t>
  </si>
  <si>
    <t>54严重风化点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</si>
</sst>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C00000"/>
      <name val="宋体"/>
      <charset val="134"/>
      <scheme val="minor"/>
    </font>
    <font>
      <b/>
      <sz val="10"/>
      <color rgb="FFC00000"/>
      <name val="宋体"/>
      <charset val="134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49" fontId="0" fillId="0" borderId="0" xfId="0" applyNumberFormat="1" applyFont="1" applyFill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2" name="图片 6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530" y="2675255"/>
          <a:ext cx="0" cy="187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3" name="图片 6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530" y="2675255"/>
          <a:ext cx="0" cy="187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4" name="图片 6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530" y="2675255"/>
          <a:ext cx="0" cy="187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5" name="图片 4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530" y="2675255"/>
          <a:ext cx="0" cy="187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9"/>
  <sheetViews>
    <sheetView tabSelected="1" workbookViewId="0">
      <selection activeCell="L14" sqref="L14"/>
    </sheetView>
  </sheetViews>
  <sheetFormatPr defaultColWidth="8.72727272727273" defaultRowHeight="14" outlineLevelCol="4"/>
  <cols>
    <col min="1" max="1" width="10.6363636363636" style="6" customWidth="1"/>
    <col min="2" max="5" width="10.6363636363636" style="5" customWidth="1"/>
    <col min="6" max="16384" width="8.72727272727273" style="5"/>
  </cols>
  <sheetData>
    <row r="1" s="4" customFormat="1" customHeight="1" spans="1: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="5" customFormat="1" spans="1:5">
      <c r="A2" s="9" t="s">
        <v>5</v>
      </c>
      <c r="B2" s="10" t="s">
        <v>6</v>
      </c>
      <c r="C2" s="11" t="s">
        <v>7</v>
      </c>
      <c r="D2" s="10" t="s">
        <v>8</v>
      </c>
      <c r="E2" s="11" t="s">
        <v>9</v>
      </c>
    </row>
    <row r="3" s="5" customFormat="1" spans="1:5">
      <c r="A3" s="9" t="s">
        <v>10</v>
      </c>
      <c r="B3" s="11" t="s">
        <v>11</v>
      </c>
      <c r="C3" s="10" t="s">
        <v>12</v>
      </c>
      <c r="D3" s="11" t="s">
        <v>13</v>
      </c>
      <c r="E3" s="11" t="s">
        <v>14</v>
      </c>
    </row>
    <row r="4" s="5" customFormat="1" spans="1:5">
      <c r="A4" s="9" t="s">
        <v>15</v>
      </c>
      <c r="B4" s="11" t="s">
        <v>11</v>
      </c>
      <c r="C4" s="11" t="s">
        <v>7</v>
      </c>
      <c r="D4" s="11" t="s">
        <v>8</v>
      </c>
      <c r="E4" s="11" t="s">
        <v>9</v>
      </c>
    </row>
    <row r="5" s="5" customFormat="1" spans="1:5">
      <c r="A5" s="9" t="s">
        <v>16</v>
      </c>
      <c r="B5" s="11" t="s">
        <v>11</v>
      </c>
      <c r="C5" s="11" t="s">
        <v>7</v>
      </c>
      <c r="D5" s="10" t="s">
        <v>8</v>
      </c>
      <c r="E5" s="11" t="s">
        <v>9</v>
      </c>
    </row>
    <row r="6" s="5" customFormat="1" spans="1:5">
      <c r="A6" s="9" t="s">
        <v>17</v>
      </c>
      <c r="B6" s="11" t="s">
        <v>11</v>
      </c>
      <c r="C6" s="11" t="s">
        <v>7</v>
      </c>
      <c r="D6" s="10" t="s">
        <v>8</v>
      </c>
      <c r="E6" s="11" t="s">
        <v>9</v>
      </c>
    </row>
    <row r="7" s="5" customFormat="1" spans="1:5">
      <c r="A7" s="9" t="s">
        <v>18</v>
      </c>
      <c r="B7" s="11" t="s">
        <v>11</v>
      </c>
      <c r="C7" s="11" t="s">
        <v>7</v>
      </c>
      <c r="D7" s="11" t="s">
        <v>8</v>
      </c>
      <c r="E7" s="11" t="s">
        <v>9</v>
      </c>
    </row>
    <row r="8" s="5" customFormat="1" spans="1:5">
      <c r="A8" s="9" t="s">
        <v>19</v>
      </c>
      <c r="B8" s="10" t="s">
        <v>20</v>
      </c>
      <c r="C8" s="11" t="s">
        <v>7</v>
      </c>
      <c r="D8" s="10" t="s">
        <v>8</v>
      </c>
      <c r="E8" s="11" t="s">
        <v>14</v>
      </c>
    </row>
    <row r="9" s="5" customFormat="1" spans="1:5">
      <c r="A9" s="9" t="s">
        <v>21</v>
      </c>
      <c r="B9" s="11" t="s">
        <v>6</v>
      </c>
      <c r="C9" s="10" t="s">
        <v>12</v>
      </c>
      <c r="D9" s="11" t="s">
        <v>22</v>
      </c>
      <c r="E9" s="11" t="s">
        <v>14</v>
      </c>
    </row>
    <row r="10" s="5" customFormat="1" spans="1:5">
      <c r="A10" s="9" t="s">
        <v>23</v>
      </c>
      <c r="B10" s="10" t="s">
        <v>20</v>
      </c>
      <c r="C10" s="11" t="s">
        <v>7</v>
      </c>
      <c r="D10" s="10" t="s">
        <v>8</v>
      </c>
      <c r="E10" s="11" t="s">
        <v>14</v>
      </c>
    </row>
    <row r="11" s="5" customFormat="1" spans="1:5">
      <c r="A11" s="9" t="s">
        <v>24</v>
      </c>
      <c r="B11" s="10" t="s">
        <v>20</v>
      </c>
      <c r="C11" s="11" t="s">
        <v>7</v>
      </c>
      <c r="D11" s="10" t="s">
        <v>8</v>
      </c>
      <c r="E11" s="11" t="s">
        <v>14</v>
      </c>
    </row>
    <row r="12" s="5" customFormat="1" spans="1:5">
      <c r="A12" s="9" t="s">
        <v>25</v>
      </c>
      <c r="B12" s="11" t="s">
        <v>6</v>
      </c>
      <c r="C12" s="10" t="s">
        <v>12</v>
      </c>
      <c r="D12" s="11" t="s">
        <v>13</v>
      </c>
      <c r="E12" s="11" t="s">
        <v>14</v>
      </c>
    </row>
    <row r="13" s="5" customFormat="1" spans="1:5">
      <c r="A13" s="9" t="s">
        <v>26</v>
      </c>
      <c r="B13" s="10" t="s">
        <v>20</v>
      </c>
      <c r="C13" s="11" t="s">
        <v>7</v>
      </c>
      <c r="D13" s="10" t="s">
        <v>8</v>
      </c>
      <c r="E13" s="11" t="s">
        <v>14</v>
      </c>
    </row>
    <row r="14" s="5" customFormat="1" spans="1:5">
      <c r="A14" s="9" t="s">
        <v>27</v>
      </c>
      <c r="B14" s="11" t="s">
        <v>6</v>
      </c>
      <c r="C14" s="11" t="s">
        <v>7</v>
      </c>
      <c r="D14" s="11" t="s">
        <v>13</v>
      </c>
      <c r="E14" s="11" t="s">
        <v>9</v>
      </c>
    </row>
    <row r="15" s="5" customFormat="1" spans="1:5">
      <c r="A15" s="9" t="s">
        <v>28</v>
      </c>
      <c r="B15" s="11" t="s">
        <v>6</v>
      </c>
      <c r="C15" s="11" t="s">
        <v>7</v>
      </c>
      <c r="D15" s="11" t="s">
        <v>29</v>
      </c>
      <c r="E15" s="11" t="s">
        <v>9</v>
      </c>
    </row>
    <row r="16" s="5" customFormat="1" spans="1:5">
      <c r="A16" s="9" t="s">
        <v>30</v>
      </c>
      <c r="B16" s="11" t="s">
        <v>6</v>
      </c>
      <c r="C16" s="11" t="s">
        <v>7</v>
      </c>
      <c r="D16" s="11" t="s">
        <v>13</v>
      </c>
      <c r="E16" s="11" t="s">
        <v>9</v>
      </c>
    </row>
    <row r="17" s="5" customFormat="1" spans="1:5">
      <c r="A17" s="9" t="s">
        <v>31</v>
      </c>
      <c r="B17" s="11" t="s">
        <v>6</v>
      </c>
      <c r="C17" s="11" t="s">
        <v>7</v>
      </c>
      <c r="D17" s="11" t="s">
        <v>13</v>
      </c>
      <c r="E17" s="11" t="s">
        <v>9</v>
      </c>
    </row>
    <row r="18" s="5" customFormat="1" spans="1:5">
      <c r="A18" s="9" t="s">
        <v>32</v>
      </c>
      <c r="B18" s="11" t="s">
        <v>6</v>
      </c>
      <c r="C18" s="11" t="s">
        <v>7</v>
      </c>
      <c r="D18" s="11" t="s">
        <v>13</v>
      </c>
      <c r="E18" s="11" t="s">
        <v>9</v>
      </c>
    </row>
    <row r="19" s="5" customFormat="1" spans="1:5">
      <c r="A19" s="9" t="s">
        <v>33</v>
      </c>
      <c r="B19" s="11" t="s">
        <v>11</v>
      </c>
      <c r="C19" s="11" t="s">
        <v>7</v>
      </c>
      <c r="D19" s="11" t="s">
        <v>34</v>
      </c>
      <c r="E19" s="11" t="s">
        <v>9</v>
      </c>
    </row>
    <row r="20" s="5" customFormat="1" spans="1:5">
      <c r="A20" s="9" t="s">
        <v>35</v>
      </c>
      <c r="B20" s="10" t="s">
        <v>11</v>
      </c>
      <c r="C20" s="10" t="s">
        <v>12</v>
      </c>
      <c r="D20" s="10"/>
      <c r="E20" s="11" t="s">
        <v>14</v>
      </c>
    </row>
    <row r="21" s="5" customFormat="1" spans="1:5">
      <c r="A21" s="9" t="s">
        <v>36</v>
      </c>
      <c r="B21" s="11" t="s">
        <v>11</v>
      </c>
      <c r="C21" s="10" t="s">
        <v>12</v>
      </c>
      <c r="D21" s="11" t="s">
        <v>13</v>
      </c>
      <c r="E21" s="11" t="s">
        <v>9</v>
      </c>
    </row>
    <row r="22" s="5" customFormat="1" spans="1:5">
      <c r="A22" s="9" t="s">
        <v>37</v>
      </c>
      <c r="B22" s="11" t="s">
        <v>11</v>
      </c>
      <c r="C22" s="11" t="s">
        <v>7</v>
      </c>
      <c r="D22" s="11" t="s">
        <v>8</v>
      </c>
      <c r="E22" s="11" t="s">
        <v>9</v>
      </c>
    </row>
    <row r="23" s="5" customFormat="1" spans="1:5">
      <c r="A23" s="9" t="s">
        <v>38</v>
      </c>
      <c r="B23" s="10" t="s">
        <v>20</v>
      </c>
      <c r="C23" s="11" t="s">
        <v>7</v>
      </c>
      <c r="D23" s="10" t="s">
        <v>8</v>
      </c>
      <c r="E23" s="11" t="s">
        <v>14</v>
      </c>
    </row>
    <row r="24" s="5" customFormat="1" spans="1:5">
      <c r="A24" s="9" t="s">
        <v>39</v>
      </c>
      <c r="B24" s="11" t="s">
        <v>11</v>
      </c>
      <c r="C24" s="10" t="s">
        <v>12</v>
      </c>
      <c r="D24" s="11" t="s">
        <v>8</v>
      </c>
      <c r="E24" s="11" t="s">
        <v>14</v>
      </c>
    </row>
    <row r="25" s="5" customFormat="1" spans="1:5">
      <c r="A25" s="9" t="s">
        <v>40</v>
      </c>
      <c r="B25" s="11" t="s">
        <v>6</v>
      </c>
      <c r="C25" s="10" t="s">
        <v>12</v>
      </c>
      <c r="D25" s="11" t="s">
        <v>22</v>
      </c>
      <c r="E25" s="11" t="s">
        <v>9</v>
      </c>
    </row>
    <row r="26" s="5" customFormat="1" spans="1:5">
      <c r="A26" s="9" t="s">
        <v>41</v>
      </c>
      <c r="B26" s="11" t="s">
        <v>6</v>
      </c>
      <c r="C26" s="10" t="s">
        <v>12</v>
      </c>
      <c r="D26" s="11" t="s">
        <v>13</v>
      </c>
      <c r="E26" s="11" t="s">
        <v>14</v>
      </c>
    </row>
    <row r="27" s="5" customFormat="1" spans="1:5">
      <c r="A27" s="9" t="s">
        <v>42</v>
      </c>
      <c r="B27" s="11" t="s">
        <v>6</v>
      </c>
      <c r="C27" s="10" t="s">
        <v>12</v>
      </c>
      <c r="D27" s="11" t="s">
        <v>22</v>
      </c>
      <c r="E27" s="11" t="s">
        <v>14</v>
      </c>
    </row>
    <row r="28" s="5" customFormat="1" spans="1:5">
      <c r="A28" s="9" t="s">
        <v>43</v>
      </c>
      <c r="B28" s="10" t="s">
        <v>20</v>
      </c>
      <c r="C28" s="11" t="s">
        <v>7</v>
      </c>
      <c r="D28" s="10" t="s">
        <v>8</v>
      </c>
      <c r="E28" s="11" t="s">
        <v>14</v>
      </c>
    </row>
    <row r="29" s="5" customFormat="1" spans="1:5">
      <c r="A29" s="9" t="s">
        <v>44</v>
      </c>
      <c r="B29" s="11" t="s">
        <v>11</v>
      </c>
      <c r="C29" s="10" t="s">
        <v>12</v>
      </c>
      <c r="D29" s="11" t="s">
        <v>13</v>
      </c>
      <c r="E29" s="11" t="s">
        <v>14</v>
      </c>
    </row>
    <row r="30" s="5" customFormat="1" spans="1:5">
      <c r="A30" s="9" t="s">
        <v>45</v>
      </c>
      <c r="B30" s="11" t="s">
        <v>11</v>
      </c>
      <c r="C30" s="10" t="s">
        <v>12</v>
      </c>
      <c r="D30" s="11" t="s">
        <v>13</v>
      </c>
      <c r="E30" s="11" t="s">
        <v>14</v>
      </c>
    </row>
    <row r="31" s="5" customFormat="1" spans="1:5">
      <c r="A31" s="9" t="s">
        <v>46</v>
      </c>
      <c r="B31" s="11" t="s">
        <v>11</v>
      </c>
      <c r="C31" s="10" t="s">
        <v>12</v>
      </c>
      <c r="D31" s="11" t="s">
        <v>34</v>
      </c>
      <c r="E31" s="11" t="s">
        <v>9</v>
      </c>
    </row>
    <row r="32" s="5" customFormat="1" spans="1:5">
      <c r="A32" s="9" t="s">
        <v>47</v>
      </c>
      <c r="B32" s="11" t="s">
        <v>6</v>
      </c>
      <c r="C32" s="10" t="s">
        <v>12</v>
      </c>
      <c r="D32" s="11" t="s">
        <v>22</v>
      </c>
      <c r="E32" s="11" t="s">
        <v>9</v>
      </c>
    </row>
    <row r="33" s="5" customFormat="1" spans="1:5">
      <c r="A33" s="9" t="s">
        <v>48</v>
      </c>
      <c r="B33" s="11" t="s">
        <v>6</v>
      </c>
      <c r="C33" s="10" t="s">
        <v>12</v>
      </c>
      <c r="D33" s="11" t="s">
        <v>49</v>
      </c>
      <c r="E33" s="11" t="s">
        <v>9</v>
      </c>
    </row>
    <row r="34" s="5" customFormat="1" spans="1:5">
      <c r="A34" s="9" t="s">
        <v>50</v>
      </c>
      <c r="B34" s="11" t="s">
        <v>6</v>
      </c>
      <c r="C34" s="10" t="s">
        <v>12</v>
      </c>
      <c r="D34" s="11" t="s">
        <v>29</v>
      </c>
      <c r="E34" s="11" t="s">
        <v>9</v>
      </c>
    </row>
    <row r="35" s="5" customFormat="1" spans="1:5">
      <c r="A35" s="9" t="s">
        <v>51</v>
      </c>
      <c r="B35" s="11" t="s">
        <v>6</v>
      </c>
      <c r="C35" s="10" t="s">
        <v>12</v>
      </c>
      <c r="D35" s="11" t="s">
        <v>29</v>
      </c>
      <c r="E35" s="11" t="s">
        <v>14</v>
      </c>
    </row>
    <row r="36" s="5" customFormat="1" spans="1:5">
      <c r="A36" s="9" t="s">
        <v>52</v>
      </c>
      <c r="B36" s="11" t="s">
        <v>6</v>
      </c>
      <c r="C36" s="10" t="s">
        <v>12</v>
      </c>
      <c r="D36" s="11" t="s">
        <v>49</v>
      </c>
      <c r="E36" s="11" t="s">
        <v>9</v>
      </c>
    </row>
    <row r="37" s="5" customFormat="1" spans="1:5">
      <c r="A37" s="9" t="s">
        <v>53</v>
      </c>
      <c r="B37" s="11" t="s">
        <v>6</v>
      </c>
      <c r="C37" s="10" t="s">
        <v>12</v>
      </c>
      <c r="D37" s="11" t="s">
        <v>29</v>
      </c>
      <c r="E37" s="11" t="s">
        <v>14</v>
      </c>
    </row>
    <row r="38" s="5" customFormat="1" spans="1:5">
      <c r="A38" s="9" t="s">
        <v>54</v>
      </c>
      <c r="B38" s="11" t="s">
        <v>6</v>
      </c>
      <c r="C38" s="10" t="s">
        <v>12</v>
      </c>
      <c r="D38" s="11" t="s">
        <v>29</v>
      </c>
      <c r="E38" s="11" t="s">
        <v>9</v>
      </c>
    </row>
    <row r="39" s="5" customFormat="1" spans="1:5">
      <c r="A39" s="9" t="s">
        <v>55</v>
      </c>
      <c r="B39" s="11" t="s">
        <v>6</v>
      </c>
      <c r="C39" s="10" t="s">
        <v>12</v>
      </c>
      <c r="D39" s="11" t="s">
        <v>29</v>
      </c>
      <c r="E39" s="11" t="s">
        <v>14</v>
      </c>
    </row>
    <row r="40" s="5" customFormat="1" spans="1:5">
      <c r="A40" s="9" t="s">
        <v>56</v>
      </c>
      <c r="B40" s="11" t="s">
        <v>6</v>
      </c>
      <c r="C40" s="10" t="s">
        <v>12</v>
      </c>
      <c r="D40" s="11" t="s">
        <v>29</v>
      </c>
      <c r="E40" s="11" t="s">
        <v>14</v>
      </c>
    </row>
    <row r="41" s="5" customFormat="1" spans="1:5">
      <c r="A41" s="9" t="s">
        <v>57</v>
      </c>
      <c r="B41" s="11" t="s">
        <v>6</v>
      </c>
      <c r="C41" s="10" t="s">
        <v>12</v>
      </c>
      <c r="D41" s="11"/>
      <c r="E41" s="11" t="s">
        <v>14</v>
      </c>
    </row>
    <row r="42" s="5" customFormat="1" spans="1:5">
      <c r="A42" s="9" t="s">
        <v>58</v>
      </c>
      <c r="B42" s="11" t="s">
        <v>6</v>
      </c>
      <c r="C42" s="10" t="s">
        <v>12</v>
      </c>
      <c r="D42" s="11" t="s">
        <v>49</v>
      </c>
      <c r="E42" s="11" t="s">
        <v>14</v>
      </c>
    </row>
    <row r="43" s="5" customFormat="1" spans="1:5">
      <c r="A43" s="9" t="s">
        <v>59</v>
      </c>
      <c r="B43" s="11" t="s">
        <v>11</v>
      </c>
      <c r="C43" s="10" t="s">
        <v>12</v>
      </c>
      <c r="D43" s="11" t="s">
        <v>13</v>
      </c>
      <c r="E43" s="11" t="s">
        <v>14</v>
      </c>
    </row>
    <row r="44" s="5" customFormat="1" spans="1:5">
      <c r="A44" s="9" t="s">
        <v>60</v>
      </c>
      <c r="B44" s="11" t="s">
        <v>6</v>
      </c>
      <c r="C44" s="10" t="s">
        <v>12</v>
      </c>
      <c r="D44" s="11" t="s">
        <v>13</v>
      </c>
      <c r="E44" s="11" t="s">
        <v>14</v>
      </c>
    </row>
    <row r="45" s="5" customFormat="1" spans="1:5">
      <c r="A45" s="9" t="s">
        <v>61</v>
      </c>
      <c r="B45" s="11" t="s">
        <v>11</v>
      </c>
      <c r="C45" s="10" t="s">
        <v>12</v>
      </c>
      <c r="D45" s="11" t="s">
        <v>13</v>
      </c>
      <c r="E45" s="11" t="s">
        <v>14</v>
      </c>
    </row>
    <row r="46" s="5" customFormat="1" spans="1:5">
      <c r="A46" s="9" t="s">
        <v>62</v>
      </c>
      <c r="B46" s="11" t="s">
        <v>11</v>
      </c>
      <c r="C46" s="10" t="s">
        <v>12</v>
      </c>
      <c r="D46" s="11" t="s">
        <v>13</v>
      </c>
      <c r="E46" s="11" t="s">
        <v>9</v>
      </c>
    </row>
    <row r="47" s="5" customFormat="1" spans="1:5">
      <c r="A47" s="9" t="s">
        <v>63</v>
      </c>
      <c r="B47" s="11" t="s">
        <v>11</v>
      </c>
      <c r="C47" s="10" t="s">
        <v>12</v>
      </c>
      <c r="D47" s="11" t="s">
        <v>13</v>
      </c>
      <c r="E47" s="11" t="s">
        <v>9</v>
      </c>
    </row>
    <row r="48" s="5" customFormat="1" spans="1:5">
      <c r="A48" s="9" t="s">
        <v>64</v>
      </c>
      <c r="B48" s="11" t="s">
        <v>11</v>
      </c>
      <c r="C48" s="10" t="s">
        <v>12</v>
      </c>
      <c r="D48" s="11" t="s">
        <v>13</v>
      </c>
      <c r="E48" s="11" t="s">
        <v>9</v>
      </c>
    </row>
    <row r="49" s="5" customFormat="1" spans="1:5">
      <c r="A49" s="9" t="s">
        <v>65</v>
      </c>
      <c r="B49" s="11" t="s">
        <v>11</v>
      </c>
      <c r="C49" s="10" t="s">
        <v>12</v>
      </c>
      <c r="D49" s="11"/>
      <c r="E49" s="11" t="s">
        <v>14</v>
      </c>
    </row>
    <row r="50" s="5" customFormat="1" spans="1:5">
      <c r="A50" s="9" t="s">
        <v>66</v>
      </c>
      <c r="B50" s="11" t="s">
        <v>11</v>
      </c>
      <c r="C50" s="10" t="s">
        <v>12</v>
      </c>
      <c r="D50" s="11" t="s">
        <v>67</v>
      </c>
      <c r="E50" s="11" t="s">
        <v>14</v>
      </c>
    </row>
    <row r="51" s="5" customFormat="1" spans="1:5">
      <c r="A51" s="9" t="s">
        <v>68</v>
      </c>
      <c r="B51" s="11" t="s">
        <v>11</v>
      </c>
      <c r="C51" s="10" t="s">
        <v>12</v>
      </c>
      <c r="D51" s="11" t="s">
        <v>67</v>
      </c>
      <c r="E51" s="11" t="s">
        <v>14</v>
      </c>
    </row>
    <row r="52" s="5" customFormat="1" spans="1:5">
      <c r="A52" s="9" t="s">
        <v>69</v>
      </c>
      <c r="B52" s="11" t="s">
        <v>6</v>
      </c>
      <c r="C52" s="10" t="s">
        <v>12</v>
      </c>
      <c r="D52" s="11" t="s">
        <v>13</v>
      </c>
      <c r="E52" s="11" t="s">
        <v>14</v>
      </c>
    </row>
    <row r="53" s="5" customFormat="1" spans="1:5">
      <c r="A53" s="9" t="s">
        <v>70</v>
      </c>
      <c r="B53" s="11" t="s">
        <v>6</v>
      </c>
      <c r="C53" s="10" t="s">
        <v>12</v>
      </c>
      <c r="D53" s="11" t="s">
        <v>13</v>
      </c>
      <c r="E53" s="11" t="s">
        <v>14</v>
      </c>
    </row>
    <row r="54" s="5" customFormat="1" spans="1:5">
      <c r="A54" s="9" t="s">
        <v>71</v>
      </c>
      <c r="B54" s="11" t="s">
        <v>11</v>
      </c>
      <c r="C54" s="10" t="s">
        <v>12</v>
      </c>
      <c r="D54" s="11" t="s">
        <v>13</v>
      </c>
      <c r="E54" s="11" t="s">
        <v>14</v>
      </c>
    </row>
    <row r="55" s="5" customFormat="1" spans="1:5">
      <c r="A55" s="9" t="s">
        <v>72</v>
      </c>
      <c r="B55" s="11" t="s">
        <v>6</v>
      </c>
      <c r="C55" s="10" t="s">
        <v>12</v>
      </c>
      <c r="D55" s="11" t="s">
        <v>13</v>
      </c>
      <c r="E55" s="11" t="s">
        <v>14</v>
      </c>
    </row>
    <row r="56" s="5" customFormat="1" spans="1:5">
      <c r="A56" s="9" t="s">
        <v>73</v>
      </c>
      <c r="B56" s="11" t="s">
        <v>6</v>
      </c>
      <c r="C56" s="10" t="s">
        <v>12</v>
      </c>
      <c r="D56" s="11" t="s">
        <v>74</v>
      </c>
      <c r="E56" s="11" t="s">
        <v>9</v>
      </c>
    </row>
    <row r="57" s="5" customFormat="1" spans="1:5">
      <c r="A57" s="9" t="s">
        <v>75</v>
      </c>
      <c r="B57" s="11" t="s">
        <v>6</v>
      </c>
      <c r="C57" s="10" t="s">
        <v>12</v>
      </c>
      <c r="D57" s="11" t="s">
        <v>8</v>
      </c>
      <c r="E57" s="11" t="s">
        <v>14</v>
      </c>
    </row>
    <row r="58" s="5" customFormat="1" spans="1:5">
      <c r="A58" s="9" t="s">
        <v>76</v>
      </c>
      <c r="B58" s="11" t="s">
        <v>6</v>
      </c>
      <c r="C58" s="10" t="s">
        <v>12</v>
      </c>
      <c r="D58" s="11" t="s">
        <v>8</v>
      </c>
      <c r="E58" s="11" t="s">
        <v>14</v>
      </c>
    </row>
    <row r="59" s="5" customFormat="1" spans="1:5">
      <c r="A59" s="9" t="s">
        <v>77</v>
      </c>
      <c r="B59" s="11" t="s">
        <v>6</v>
      </c>
      <c r="C59" s="11" t="s">
        <v>12</v>
      </c>
      <c r="D59" s="11"/>
      <c r="E59" s="11" t="s">
        <v>14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8"/>
  <sheetViews>
    <sheetView workbookViewId="0">
      <selection activeCell="K17" sqref="K17"/>
    </sheetView>
  </sheetViews>
  <sheetFormatPr defaultColWidth="9" defaultRowHeight="14"/>
  <cols>
    <col min="1" max="1" width="14.6363636363636" customWidth="1"/>
    <col min="2" max="2" width="13.1818181818182" style="1" customWidth="1"/>
    <col min="3" max="3" width="11.2727272727273" customWidth="1"/>
    <col min="4" max="4" width="17" customWidth="1"/>
  </cols>
  <sheetData>
    <row r="1" spans="1:18">
      <c r="A1" s="2" t="s">
        <v>78</v>
      </c>
      <c r="B1" s="3" t="s">
        <v>0</v>
      </c>
      <c r="C1" s="2" t="s">
        <v>2</v>
      </c>
      <c r="D1" s="2" t="s">
        <v>4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  <c r="M1" s="2" t="s">
        <v>87</v>
      </c>
      <c r="N1" s="2" t="s">
        <v>88</v>
      </c>
      <c r="O1" s="2" t="s">
        <v>89</v>
      </c>
      <c r="P1" s="2" t="s">
        <v>90</v>
      </c>
      <c r="Q1" s="2" t="s">
        <v>91</v>
      </c>
      <c r="R1" s="2" t="s">
        <v>92</v>
      </c>
    </row>
    <row r="2" spans="1:18">
      <c r="A2" t="s">
        <v>5</v>
      </c>
      <c r="B2" s="1" t="str">
        <f>LEFT(A2,2)</f>
        <v>01</v>
      </c>
      <c r="C2" t="str">
        <f>VLOOKUP(B2,表单1!$A$1:$E$59,3,FALSE)</f>
        <v>高钾</v>
      </c>
      <c r="D2" t="str">
        <f>VLOOKUP(B2,表单1!$A$1:$E$59,5,FALSE)</f>
        <v>无风化</v>
      </c>
      <c r="E2">
        <v>69.33</v>
      </c>
      <c r="F2">
        <v>0.01</v>
      </c>
      <c r="G2">
        <v>9.99</v>
      </c>
      <c r="H2">
        <v>6.32</v>
      </c>
      <c r="I2">
        <v>0.87</v>
      </c>
      <c r="J2">
        <v>3.93</v>
      </c>
      <c r="K2">
        <v>1.74</v>
      </c>
      <c r="L2">
        <v>3.87</v>
      </c>
      <c r="M2">
        <v>0.01</v>
      </c>
      <c r="N2">
        <v>0.01</v>
      </c>
      <c r="O2">
        <v>1.17</v>
      </c>
      <c r="P2">
        <v>0.01</v>
      </c>
      <c r="Q2">
        <v>0.01</v>
      </c>
      <c r="R2">
        <v>0.39</v>
      </c>
    </row>
    <row r="3" spans="1:18">
      <c r="A3" t="s">
        <v>10</v>
      </c>
      <c r="B3" s="1" t="str">
        <f>LEFT(A3,2)</f>
        <v>02</v>
      </c>
      <c r="C3" t="str">
        <f>VLOOKUP(B3,表单1!$A$1:$E$59,3,FALSE)</f>
        <v>铅钡</v>
      </c>
      <c r="D3" t="str">
        <f>VLOOKUP(B3,表单1!$A$1:$E$59,5,FALSE)</f>
        <v>风化</v>
      </c>
      <c r="E3">
        <v>36.28</v>
      </c>
      <c r="F3">
        <v>0.01</v>
      </c>
      <c r="G3">
        <v>1.05</v>
      </c>
      <c r="H3">
        <v>2.34</v>
      </c>
      <c r="I3">
        <v>1.18</v>
      </c>
      <c r="J3">
        <v>5.73</v>
      </c>
      <c r="K3">
        <v>1.86</v>
      </c>
      <c r="L3">
        <v>0.26</v>
      </c>
      <c r="M3">
        <v>47.43</v>
      </c>
      <c r="N3">
        <v>0.01</v>
      </c>
      <c r="O3">
        <v>3.57</v>
      </c>
      <c r="P3">
        <v>0.19</v>
      </c>
      <c r="Q3">
        <v>0.01</v>
      </c>
      <c r="R3">
        <v>0.01</v>
      </c>
    </row>
    <row r="4" spans="1:18">
      <c r="A4" t="s">
        <v>93</v>
      </c>
      <c r="B4" s="1" t="str">
        <f>LEFT(A4,2)</f>
        <v>03</v>
      </c>
      <c r="C4" t="str">
        <f>VLOOKUP(B4,表单1!$A$1:$E$59,3,FALSE)</f>
        <v>高钾</v>
      </c>
      <c r="D4" t="str">
        <f>VLOOKUP(B4,表单1!$A$1:$E$59,5,FALSE)</f>
        <v>无风化</v>
      </c>
      <c r="E4">
        <v>87.05</v>
      </c>
      <c r="F4">
        <v>0.01</v>
      </c>
      <c r="G4">
        <v>5.19</v>
      </c>
      <c r="H4">
        <v>2.01</v>
      </c>
      <c r="I4">
        <v>0.01</v>
      </c>
      <c r="J4">
        <v>4.06</v>
      </c>
      <c r="K4">
        <v>0.01</v>
      </c>
      <c r="L4">
        <v>0.78</v>
      </c>
      <c r="M4">
        <v>0.25</v>
      </c>
      <c r="N4">
        <v>0.01</v>
      </c>
      <c r="O4">
        <v>0.66</v>
      </c>
      <c r="P4">
        <v>0.01</v>
      </c>
      <c r="Q4">
        <v>0.01</v>
      </c>
      <c r="R4">
        <v>0.01</v>
      </c>
    </row>
    <row r="5" spans="1:18">
      <c r="A5" t="s">
        <v>94</v>
      </c>
      <c r="B5" s="1" t="str">
        <f>LEFT(A5,2)</f>
        <v>03</v>
      </c>
      <c r="C5" t="str">
        <f>VLOOKUP(B5,表单1!$A$1:$E$59,3,FALSE)</f>
        <v>高钾</v>
      </c>
      <c r="D5" t="str">
        <f>VLOOKUP(B5,表单1!$A$1:$E$59,5,FALSE)</f>
        <v>无风化</v>
      </c>
      <c r="E5">
        <v>61.71</v>
      </c>
      <c r="F5">
        <v>0.01</v>
      </c>
      <c r="G5">
        <v>12.37</v>
      </c>
      <c r="H5">
        <v>5.87</v>
      </c>
      <c r="I5">
        <v>1.11</v>
      </c>
      <c r="J5">
        <v>5.5</v>
      </c>
      <c r="K5">
        <v>2.16</v>
      </c>
      <c r="L5">
        <v>5.09</v>
      </c>
      <c r="M5">
        <v>1.41</v>
      </c>
      <c r="N5">
        <v>2.86</v>
      </c>
      <c r="O5">
        <v>0.7</v>
      </c>
      <c r="P5">
        <v>0.1</v>
      </c>
      <c r="Q5">
        <v>0.01</v>
      </c>
      <c r="R5">
        <v>0.01</v>
      </c>
    </row>
    <row r="6" spans="1:18">
      <c r="A6" t="s">
        <v>16</v>
      </c>
      <c r="B6" s="1" t="str">
        <f>LEFT(A6,2)</f>
        <v>04</v>
      </c>
      <c r="C6" t="str">
        <f>VLOOKUP(B6,表单1!$A$1:$E$59,3,FALSE)</f>
        <v>高钾</v>
      </c>
      <c r="D6" t="str">
        <f>VLOOKUP(B6,表单1!$A$1:$E$59,5,FALSE)</f>
        <v>无风化</v>
      </c>
      <c r="E6">
        <v>65.88</v>
      </c>
      <c r="F6">
        <v>0.01</v>
      </c>
      <c r="G6">
        <v>9.67</v>
      </c>
      <c r="H6">
        <v>7.12</v>
      </c>
      <c r="I6">
        <v>1.56</v>
      </c>
      <c r="J6">
        <v>6.44</v>
      </c>
      <c r="K6">
        <v>2.06</v>
      </c>
      <c r="L6">
        <v>2.18</v>
      </c>
      <c r="M6">
        <v>0.01</v>
      </c>
      <c r="N6">
        <v>0.01</v>
      </c>
      <c r="O6">
        <v>0.79</v>
      </c>
      <c r="P6">
        <v>0.01</v>
      </c>
      <c r="Q6">
        <v>0.01</v>
      </c>
      <c r="R6">
        <v>0.36</v>
      </c>
    </row>
    <row r="7" spans="1:18">
      <c r="A7" t="s">
        <v>17</v>
      </c>
      <c r="B7" s="1" t="str">
        <f>LEFT(A7,2)</f>
        <v>05</v>
      </c>
      <c r="C7" t="str">
        <f>VLOOKUP(B7,表单1!$A$1:$E$59,3,FALSE)</f>
        <v>高钾</v>
      </c>
      <c r="D7" t="str">
        <f>VLOOKUP(B7,表单1!$A$1:$E$59,5,FALSE)</f>
        <v>无风化</v>
      </c>
      <c r="E7">
        <v>61.58</v>
      </c>
      <c r="F7">
        <v>0.01</v>
      </c>
      <c r="G7">
        <v>10.95</v>
      </c>
      <c r="H7">
        <v>7.35</v>
      </c>
      <c r="I7">
        <v>1.77</v>
      </c>
      <c r="J7">
        <v>7.5</v>
      </c>
      <c r="K7">
        <v>2.62</v>
      </c>
      <c r="L7">
        <v>3.27</v>
      </c>
      <c r="M7">
        <v>0.01</v>
      </c>
      <c r="N7">
        <v>0.01</v>
      </c>
      <c r="O7">
        <v>0.94</v>
      </c>
      <c r="P7">
        <v>0.06</v>
      </c>
      <c r="Q7">
        <v>0.01</v>
      </c>
      <c r="R7">
        <v>0.47</v>
      </c>
    </row>
    <row r="8" spans="1:18">
      <c r="A8" t="s">
        <v>95</v>
      </c>
      <c r="B8" s="1" t="str">
        <f>LEFT(A8,2)</f>
        <v>06</v>
      </c>
      <c r="C8" t="str">
        <f>VLOOKUP(B8,表单1!$A$1:$E$59,3,FALSE)</f>
        <v>高钾</v>
      </c>
      <c r="D8" t="str">
        <f>VLOOKUP(B8,表单1!$A$1:$E$59,5,FALSE)</f>
        <v>无风化</v>
      </c>
      <c r="E8">
        <v>67.65</v>
      </c>
      <c r="F8">
        <v>0.01</v>
      </c>
      <c r="G8">
        <v>7.37</v>
      </c>
      <c r="H8">
        <v>0.01</v>
      </c>
      <c r="I8">
        <v>1.98</v>
      </c>
      <c r="J8">
        <v>11.15</v>
      </c>
      <c r="K8">
        <v>2.39</v>
      </c>
      <c r="L8">
        <v>2.51</v>
      </c>
      <c r="M8">
        <v>0.2</v>
      </c>
      <c r="N8">
        <v>1.38</v>
      </c>
      <c r="O8">
        <v>4.18</v>
      </c>
      <c r="P8">
        <v>0.11</v>
      </c>
      <c r="Q8">
        <v>0.01</v>
      </c>
      <c r="R8">
        <v>0.01</v>
      </c>
    </row>
    <row r="9" spans="1:18">
      <c r="A9" t="s">
        <v>96</v>
      </c>
      <c r="B9" s="1" t="str">
        <f>LEFT(A9,2)</f>
        <v>06</v>
      </c>
      <c r="C9" t="str">
        <f>VLOOKUP(B9,表单1!$A$1:$E$59,3,FALSE)</f>
        <v>高钾</v>
      </c>
      <c r="D9" t="str">
        <f>VLOOKUP(B9,表单1!$A$1:$E$59,5,FALSE)</f>
        <v>无风化</v>
      </c>
      <c r="E9">
        <v>59.81</v>
      </c>
      <c r="F9">
        <v>0.01</v>
      </c>
      <c r="G9">
        <v>7.68</v>
      </c>
      <c r="H9">
        <v>5.41</v>
      </c>
      <c r="I9">
        <v>1.73</v>
      </c>
      <c r="J9">
        <v>10.05</v>
      </c>
      <c r="K9">
        <v>6.04</v>
      </c>
      <c r="L9">
        <v>2.18</v>
      </c>
      <c r="M9">
        <v>0.35</v>
      </c>
      <c r="N9">
        <v>0.97</v>
      </c>
      <c r="O9">
        <v>4.5</v>
      </c>
      <c r="P9">
        <v>0.12</v>
      </c>
      <c r="Q9">
        <v>0.01</v>
      </c>
      <c r="R9">
        <v>0.01</v>
      </c>
    </row>
    <row r="10" spans="1:18">
      <c r="A10" t="s">
        <v>19</v>
      </c>
      <c r="B10" s="1" t="str">
        <f>LEFT(A10,2)</f>
        <v>07</v>
      </c>
      <c r="C10" t="str">
        <f>VLOOKUP(B10,表单1!$A$1:$E$59,3,FALSE)</f>
        <v>高钾</v>
      </c>
      <c r="D10" t="str">
        <f>VLOOKUP(B10,表单1!$A$1:$E$59,5,FALSE)</f>
        <v>风化</v>
      </c>
      <c r="E10">
        <v>92.63</v>
      </c>
      <c r="F10">
        <v>0.01</v>
      </c>
      <c r="G10">
        <v>0.01</v>
      </c>
      <c r="H10">
        <v>1.07</v>
      </c>
      <c r="I10">
        <v>0.01</v>
      </c>
      <c r="J10">
        <v>1.98</v>
      </c>
      <c r="K10">
        <v>0.17</v>
      </c>
      <c r="L10">
        <v>3.24</v>
      </c>
      <c r="M10">
        <v>0.01</v>
      </c>
      <c r="N10">
        <v>0.01</v>
      </c>
      <c r="O10">
        <v>0.61</v>
      </c>
      <c r="P10">
        <v>0.01</v>
      </c>
      <c r="Q10">
        <v>0.01</v>
      </c>
      <c r="R10">
        <v>0.01</v>
      </c>
    </row>
    <row r="11" spans="1:18">
      <c r="A11" t="s">
        <v>21</v>
      </c>
      <c r="B11" s="1" t="str">
        <f>LEFT(A11,2)</f>
        <v>08</v>
      </c>
      <c r="C11" t="str">
        <f>VLOOKUP(B11,表单1!$A$1:$E$59,3,FALSE)</f>
        <v>铅钡</v>
      </c>
      <c r="D11" t="str">
        <f>VLOOKUP(B11,表单1!$A$1:$E$59,5,FALSE)</f>
        <v>风化</v>
      </c>
      <c r="E11">
        <v>20.14</v>
      </c>
      <c r="F11">
        <v>0.01</v>
      </c>
      <c r="G11">
        <v>0.01</v>
      </c>
      <c r="H11">
        <v>1.48</v>
      </c>
      <c r="I11">
        <v>0.01</v>
      </c>
      <c r="J11">
        <v>1.34</v>
      </c>
      <c r="K11">
        <v>0.01</v>
      </c>
      <c r="L11">
        <v>10.41</v>
      </c>
      <c r="M11">
        <v>28.68</v>
      </c>
      <c r="N11">
        <v>31.23</v>
      </c>
      <c r="O11">
        <v>3.59</v>
      </c>
      <c r="P11">
        <v>0.37</v>
      </c>
      <c r="Q11">
        <v>0.01</v>
      </c>
      <c r="R11">
        <v>2.58</v>
      </c>
    </row>
    <row r="12" spans="1:18">
      <c r="A12" t="s">
        <v>97</v>
      </c>
      <c r="B12" s="1" t="str">
        <f>LEFT(A12,2)</f>
        <v>08</v>
      </c>
      <c r="C12" t="str">
        <f>VLOOKUP(B12,表单1!$A$1:$E$59,3,FALSE)</f>
        <v>铅钡</v>
      </c>
      <c r="D12" t="str">
        <f>VLOOKUP(B12,表单1!$A$1:$E$59,5,FALSE)</f>
        <v>风化</v>
      </c>
      <c r="E12">
        <v>4.61</v>
      </c>
      <c r="F12">
        <v>0.01</v>
      </c>
      <c r="G12">
        <v>0.01</v>
      </c>
      <c r="H12">
        <v>3.19</v>
      </c>
      <c r="I12">
        <v>0.01</v>
      </c>
      <c r="J12">
        <v>1.11</v>
      </c>
      <c r="K12">
        <v>0.01</v>
      </c>
      <c r="L12">
        <v>3.14</v>
      </c>
      <c r="M12">
        <v>32.45</v>
      </c>
      <c r="N12">
        <v>30.62</v>
      </c>
      <c r="O12">
        <v>7.56</v>
      </c>
      <c r="P12">
        <v>0.53</v>
      </c>
      <c r="Q12">
        <v>0.01</v>
      </c>
      <c r="R12">
        <v>15.03</v>
      </c>
    </row>
    <row r="13" spans="1:18">
      <c r="A13" t="s">
        <v>23</v>
      </c>
      <c r="B13" s="1" t="str">
        <f>LEFT(A13,2)</f>
        <v>09</v>
      </c>
      <c r="C13" t="str">
        <f>VLOOKUP(B13,表单1!$A$1:$E$59,3,FALSE)</f>
        <v>高钾</v>
      </c>
      <c r="D13" t="str">
        <f>VLOOKUP(B13,表单1!$A$1:$E$59,5,FALSE)</f>
        <v>风化</v>
      </c>
      <c r="E13">
        <v>95.02</v>
      </c>
      <c r="F13">
        <v>0.01</v>
      </c>
      <c r="G13">
        <v>0.59</v>
      </c>
      <c r="H13">
        <v>0.62</v>
      </c>
      <c r="I13">
        <v>0.01</v>
      </c>
      <c r="J13">
        <v>1.32</v>
      </c>
      <c r="K13">
        <v>0.32</v>
      </c>
      <c r="L13">
        <v>1.55</v>
      </c>
      <c r="M13">
        <v>0.01</v>
      </c>
      <c r="N13">
        <v>0.01</v>
      </c>
      <c r="O13">
        <v>0.35</v>
      </c>
      <c r="P13">
        <v>0.01</v>
      </c>
      <c r="Q13">
        <v>0.01</v>
      </c>
      <c r="R13">
        <v>0.01</v>
      </c>
    </row>
    <row r="14" spans="1:18">
      <c r="A14" t="s">
        <v>24</v>
      </c>
      <c r="B14" s="1" t="str">
        <f>LEFT(A14,2)</f>
        <v>10</v>
      </c>
      <c r="C14" t="str">
        <f>VLOOKUP(B14,表单1!$A$1:$E$59,3,FALSE)</f>
        <v>高钾</v>
      </c>
      <c r="D14" t="str">
        <f>VLOOKUP(B14,表单1!$A$1:$E$59,5,FALSE)</f>
        <v>风化</v>
      </c>
      <c r="E14">
        <v>96.77</v>
      </c>
      <c r="F14">
        <v>0.01</v>
      </c>
      <c r="G14">
        <v>0.92</v>
      </c>
      <c r="H14">
        <v>0.21</v>
      </c>
      <c r="I14">
        <v>0.01</v>
      </c>
      <c r="J14">
        <v>0.81</v>
      </c>
      <c r="K14">
        <v>0.26</v>
      </c>
      <c r="L14">
        <v>0.84</v>
      </c>
      <c r="M14">
        <v>0.01</v>
      </c>
      <c r="N14">
        <v>0.01</v>
      </c>
      <c r="O14">
        <v>0.01</v>
      </c>
      <c r="P14">
        <v>0.01</v>
      </c>
      <c r="Q14">
        <v>0.01</v>
      </c>
      <c r="R14">
        <v>0.01</v>
      </c>
    </row>
    <row r="15" spans="1:18">
      <c r="A15" t="s">
        <v>25</v>
      </c>
      <c r="B15" s="1" t="str">
        <f>LEFT(A15,2)</f>
        <v>11</v>
      </c>
      <c r="C15" t="str">
        <f>VLOOKUP(B15,表单1!$A$1:$E$59,3,FALSE)</f>
        <v>铅钡</v>
      </c>
      <c r="D15" t="str">
        <f>VLOOKUP(B15,表单1!$A$1:$E$59,5,FALSE)</f>
        <v>风化</v>
      </c>
      <c r="E15">
        <v>33.59</v>
      </c>
      <c r="F15">
        <v>0.01</v>
      </c>
      <c r="G15">
        <v>0.21</v>
      </c>
      <c r="H15">
        <v>3.51</v>
      </c>
      <c r="I15">
        <v>0.71</v>
      </c>
      <c r="J15">
        <v>2.69</v>
      </c>
      <c r="K15">
        <v>0.01</v>
      </c>
      <c r="L15">
        <v>4.93</v>
      </c>
      <c r="M15">
        <v>25.39</v>
      </c>
      <c r="N15">
        <v>14.61</v>
      </c>
      <c r="O15">
        <v>9.38</v>
      </c>
      <c r="P15">
        <v>0.37</v>
      </c>
      <c r="Q15">
        <v>0.01</v>
      </c>
      <c r="R15">
        <v>0.01</v>
      </c>
    </row>
    <row r="16" spans="1:18">
      <c r="A16" t="s">
        <v>26</v>
      </c>
      <c r="B16" s="1" t="str">
        <f>LEFT(A16,2)</f>
        <v>12</v>
      </c>
      <c r="C16" t="str">
        <f>VLOOKUP(B16,表单1!$A$1:$E$59,3,FALSE)</f>
        <v>高钾</v>
      </c>
      <c r="D16" t="str">
        <f>VLOOKUP(B16,表单1!$A$1:$E$59,5,FALSE)</f>
        <v>风化</v>
      </c>
      <c r="E16">
        <v>94.29</v>
      </c>
      <c r="F16">
        <v>0.01</v>
      </c>
      <c r="G16">
        <v>1.01</v>
      </c>
      <c r="H16">
        <v>0.72</v>
      </c>
      <c r="I16">
        <v>0.01</v>
      </c>
      <c r="J16">
        <v>1.46</v>
      </c>
      <c r="K16">
        <v>0.29</v>
      </c>
      <c r="L16">
        <v>1.65</v>
      </c>
      <c r="M16">
        <v>0.01</v>
      </c>
      <c r="N16">
        <v>0.01</v>
      </c>
      <c r="O16">
        <v>0.15</v>
      </c>
      <c r="P16">
        <v>0.01</v>
      </c>
      <c r="Q16">
        <v>0.01</v>
      </c>
      <c r="R16">
        <v>0.01</v>
      </c>
    </row>
    <row r="17" spans="1:18">
      <c r="A17" t="s">
        <v>27</v>
      </c>
      <c r="B17" s="1" t="str">
        <f>LEFT(A17,2)</f>
        <v>13</v>
      </c>
      <c r="C17" t="str">
        <f>VLOOKUP(B17,表单1!$A$1:$E$59,3,FALSE)</f>
        <v>高钾</v>
      </c>
      <c r="D17" t="str">
        <f>VLOOKUP(B17,表单1!$A$1:$E$59,5,FALSE)</f>
        <v>无风化</v>
      </c>
      <c r="E17">
        <v>59.01</v>
      </c>
      <c r="F17">
        <v>2.86</v>
      </c>
      <c r="G17">
        <v>12.53</v>
      </c>
      <c r="H17">
        <v>8.7</v>
      </c>
      <c r="I17">
        <v>0.01</v>
      </c>
      <c r="J17">
        <v>6.16</v>
      </c>
      <c r="K17">
        <v>2.88</v>
      </c>
      <c r="L17">
        <v>4.73</v>
      </c>
      <c r="M17">
        <v>0.01</v>
      </c>
      <c r="N17">
        <v>0.01</v>
      </c>
      <c r="O17">
        <v>1.27</v>
      </c>
      <c r="P17">
        <v>0.01</v>
      </c>
      <c r="Q17">
        <v>0.01</v>
      </c>
      <c r="R17">
        <v>0.01</v>
      </c>
    </row>
    <row r="18" spans="1:18">
      <c r="A18" t="s">
        <v>28</v>
      </c>
      <c r="B18" s="1" t="str">
        <f>LEFT(A18,2)</f>
        <v>14</v>
      </c>
      <c r="C18" t="str">
        <f>VLOOKUP(B18,表单1!$A$1:$E$59,3,FALSE)</f>
        <v>高钾</v>
      </c>
      <c r="D18" t="str">
        <f>VLOOKUP(B18,表单1!$A$1:$E$59,5,FALSE)</f>
        <v>无风化</v>
      </c>
      <c r="E18">
        <v>62.47</v>
      </c>
      <c r="F18">
        <v>3.38</v>
      </c>
      <c r="G18">
        <v>12.28</v>
      </c>
      <c r="H18">
        <v>8.23</v>
      </c>
      <c r="I18">
        <v>0.66</v>
      </c>
      <c r="J18">
        <v>9.23</v>
      </c>
      <c r="K18">
        <v>0.5</v>
      </c>
      <c r="L18">
        <v>0.47</v>
      </c>
      <c r="M18">
        <v>1.62</v>
      </c>
      <c r="N18">
        <v>0.01</v>
      </c>
      <c r="O18">
        <v>0.16</v>
      </c>
      <c r="P18">
        <v>0.01</v>
      </c>
      <c r="Q18">
        <v>0.01</v>
      </c>
      <c r="R18">
        <v>0.01</v>
      </c>
    </row>
    <row r="19" spans="1:18">
      <c r="A19" t="s">
        <v>31</v>
      </c>
      <c r="B19" s="1" t="str">
        <f>LEFT(A19,2)</f>
        <v>16</v>
      </c>
      <c r="C19" t="str">
        <f>VLOOKUP(B19,表单1!$A$1:$E$59,3,FALSE)</f>
        <v>高钾</v>
      </c>
      <c r="D19" t="str">
        <f>VLOOKUP(B19,表单1!$A$1:$E$59,5,FALSE)</f>
        <v>无风化</v>
      </c>
      <c r="E19">
        <v>65.18</v>
      </c>
      <c r="F19">
        <v>2.1</v>
      </c>
      <c r="G19">
        <v>14.52</v>
      </c>
      <c r="H19">
        <v>8.27</v>
      </c>
      <c r="I19">
        <v>0.52</v>
      </c>
      <c r="J19">
        <v>6.18</v>
      </c>
      <c r="K19">
        <v>0.42</v>
      </c>
      <c r="L19">
        <v>1.07</v>
      </c>
      <c r="M19">
        <v>0.11</v>
      </c>
      <c r="N19">
        <v>0</v>
      </c>
      <c r="O19">
        <v>0.01</v>
      </c>
      <c r="P19">
        <v>0.04</v>
      </c>
      <c r="Q19">
        <v>0.01</v>
      </c>
      <c r="R19">
        <v>0.01</v>
      </c>
    </row>
    <row r="20" spans="1:18">
      <c r="A20" t="s">
        <v>33</v>
      </c>
      <c r="B20" s="1" t="str">
        <f>LEFT(A20,2)</f>
        <v>18</v>
      </c>
      <c r="C20" t="str">
        <f>VLOOKUP(B20,表单1!$A$1:$E$59,3,FALSE)</f>
        <v>高钾</v>
      </c>
      <c r="D20" t="str">
        <f>VLOOKUP(B20,表单1!$A$1:$E$59,5,FALSE)</f>
        <v>无风化</v>
      </c>
      <c r="E20">
        <v>79.46</v>
      </c>
      <c r="F20">
        <v>0.01</v>
      </c>
      <c r="G20">
        <v>9.42</v>
      </c>
      <c r="H20">
        <v>0.01</v>
      </c>
      <c r="I20">
        <v>1.53</v>
      </c>
      <c r="J20">
        <v>3.05</v>
      </c>
      <c r="K20">
        <v>0.01</v>
      </c>
      <c r="L20">
        <v>0.01</v>
      </c>
      <c r="M20">
        <v>0.01</v>
      </c>
      <c r="N20">
        <v>0.01</v>
      </c>
      <c r="O20">
        <v>1.36</v>
      </c>
      <c r="P20">
        <v>0.07</v>
      </c>
      <c r="Q20">
        <v>2.36</v>
      </c>
      <c r="R20">
        <v>0.01</v>
      </c>
    </row>
    <row r="21" spans="1:18">
      <c r="A21" t="s">
        <v>35</v>
      </c>
      <c r="B21" s="1" t="str">
        <f>LEFT(A21,2)</f>
        <v>19</v>
      </c>
      <c r="C21" t="str">
        <f>VLOOKUP(B21,表单1!$A$1:$E$59,3,FALSE)</f>
        <v>铅钡</v>
      </c>
      <c r="D21" t="str">
        <f>VLOOKUP(B21,表单1!$A$1:$E$59,5,FALSE)</f>
        <v>风化</v>
      </c>
      <c r="E21">
        <v>29.64</v>
      </c>
      <c r="F21">
        <v>0.01</v>
      </c>
      <c r="G21">
        <v>0.01</v>
      </c>
      <c r="H21">
        <v>2.93</v>
      </c>
      <c r="I21">
        <v>0.59</v>
      </c>
      <c r="J21">
        <v>3.57</v>
      </c>
      <c r="K21">
        <v>1.33</v>
      </c>
      <c r="L21">
        <v>3.51</v>
      </c>
      <c r="M21">
        <v>42.82</v>
      </c>
      <c r="N21">
        <v>5.35</v>
      </c>
      <c r="O21">
        <v>8.83</v>
      </c>
      <c r="P21">
        <v>0.19</v>
      </c>
      <c r="Q21">
        <v>0.01</v>
      </c>
      <c r="R21">
        <v>0.01</v>
      </c>
    </row>
    <row r="22" spans="1:18">
      <c r="A22" t="s">
        <v>36</v>
      </c>
      <c r="B22" s="1" t="str">
        <f>LEFT(A22,2)</f>
        <v>20</v>
      </c>
      <c r="C22" t="str">
        <f>VLOOKUP(B22,表单1!$A$1:$E$59,3,FALSE)</f>
        <v>铅钡</v>
      </c>
      <c r="D22" t="str">
        <f>VLOOKUP(B22,表单1!$A$1:$E$59,5,FALSE)</f>
        <v>无风化</v>
      </c>
      <c r="E22">
        <v>37.36</v>
      </c>
      <c r="F22">
        <v>0.01</v>
      </c>
      <c r="G22">
        <v>0.71</v>
      </c>
      <c r="H22">
        <v>0.01</v>
      </c>
      <c r="I22">
        <v>0.01</v>
      </c>
      <c r="J22">
        <v>5.45</v>
      </c>
      <c r="K22">
        <v>1.51</v>
      </c>
      <c r="L22">
        <v>4.78</v>
      </c>
      <c r="M22">
        <v>9.3</v>
      </c>
      <c r="N22">
        <v>23.55</v>
      </c>
      <c r="O22">
        <v>5.75</v>
      </c>
      <c r="P22">
        <v>0.01</v>
      </c>
      <c r="Q22">
        <v>0.01</v>
      </c>
      <c r="R22">
        <v>0.01</v>
      </c>
    </row>
    <row r="23" spans="1:18">
      <c r="A23" t="s">
        <v>37</v>
      </c>
      <c r="B23" s="1" t="str">
        <f>LEFT(A23,2)</f>
        <v>21</v>
      </c>
      <c r="C23" t="str">
        <f>VLOOKUP(B23,表单1!$A$1:$E$59,3,FALSE)</f>
        <v>高钾</v>
      </c>
      <c r="D23" t="str">
        <f>VLOOKUP(B23,表单1!$A$1:$E$59,5,FALSE)</f>
        <v>无风化</v>
      </c>
      <c r="E23">
        <v>76.68</v>
      </c>
      <c r="F23">
        <v>0.01</v>
      </c>
      <c r="G23">
        <v>0.01</v>
      </c>
      <c r="H23">
        <v>4.71</v>
      </c>
      <c r="I23">
        <v>1.22</v>
      </c>
      <c r="J23">
        <v>6.19</v>
      </c>
      <c r="K23">
        <v>2.37</v>
      </c>
      <c r="L23">
        <v>3.28</v>
      </c>
      <c r="M23">
        <v>1</v>
      </c>
      <c r="N23">
        <v>1.97</v>
      </c>
      <c r="O23">
        <v>1.1</v>
      </c>
      <c r="P23">
        <v>0.01</v>
      </c>
      <c r="Q23">
        <v>0.01</v>
      </c>
      <c r="R23">
        <v>0.01</v>
      </c>
    </row>
    <row r="24" spans="1:18">
      <c r="A24" t="s">
        <v>38</v>
      </c>
      <c r="B24" s="1" t="str">
        <f>LEFT(A24,2)</f>
        <v>22</v>
      </c>
      <c r="C24" t="str">
        <f>VLOOKUP(B24,表单1!$A$1:$E$59,3,FALSE)</f>
        <v>高钾</v>
      </c>
      <c r="D24" t="str">
        <f>VLOOKUP(B24,表单1!$A$1:$E$59,5,FALSE)</f>
        <v>风化</v>
      </c>
      <c r="E24">
        <v>92.35</v>
      </c>
      <c r="F24">
        <v>0.01</v>
      </c>
      <c r="G24">
        <v>0.74</v>
      </c>
      <c r="H24">
        <v>1.66</v>
      </c>
      <c r="I24">
        <v>0.64</v>
      </c>
      <c r="J24">
        <v>3.5</v>
      </c>
      <c r="K24">
        <v>0.35</v>
      </c>
      <c r="L24">
        <v>0.55</v>
      </c>
      <c r="M24">
        <v>0.01</v>
      </c>
      <c r="N24">
        <v>0.01</v>
      </c>
      <c r="O24">
        <v>0.21</v>
      </c>
      <c r="P24">
        <v>0.01</v>
      </c>
      <c r="Q24">
        <v>0.01</v>
      </c>
      <c r="R24">
        <v>0.01</v>
      </c>
    </row>
    <row r="25" spans="1:18">
      <c r="A25" t="s">
        <v>98</v>
      </c>
      <c r="B25" s="1" t="str">
        <f>LEFT(A25,2)</f>
        <v>23</v>
      </c>
      <c r="C25" t="str">
        <f>VLOOKUP(B25,表单1!$A$1:$E$59,3,FALSE)</f>
        <v>铅钡</v>
      </c>
      <c r="D25" t="str">
        <f>VLOOKUP(B25,表单1!$A$1:$E$59,5,FALSE)</f>
        <v>风化</v>
      </c>
      <c r="E25">
        <v>53.79</v>
      </c>
      <c r="F25">
        <v>7.92</v>
      </c>
      <c r="G25">
        <v>0.01</v>
      </c>
      <c r="H25">
        <v>0.5</v>
      </c>
      <c r="I25">
        <v>0.71</v>
      </c>
      <c r="J25">
        <v>1.42</v>
      </c>
      <c r="K25">
        <v>0.01</v>
      </c>
      <c r="L25">
        <v>2.99</v>
      </c>
      <c r="M25">
        <v>16.98</v>
      </c>
      <c r="N25">
        <v>11.86</v>
      </c>
      <c r="O25">
        <v>0.01</v>
      </c>
      <c r="P25">
        <v>0.33</v>
      </c>
      <c r="Q25">
        <v>0.01</v>
      </c>
      <c r="R25">
        <v>0.01</v>
      </c>
    </row>
    <row r="26" spans="1:18">
      <c r="A26" t="s">
        <v>40</v>
      </c>
      <c r="B26" s="1" t="str">
        <f>LEFT(A26,2)</f>
        <v>24</v>
      </c>
      <c r="C26" t="str">
        <f>VLOOKUP(B26,表单1!$A$1:$E$59,3,FALSE)</f>
        <v>铅钡</v>
      </c>
      <c r="D26" t="str">
        <f>VLOOKUP(B26,表单1!$A$1:$E$59,5,FALSE)</f>
        <v>无风化</v>
      </c>
      <c r="E26">
        <v>31.94</v>
      </c>
      <c r="F26">
        <v>0.01</v>
      </c>
      <c r="G26">
        <v>0.01</v>
      </c>
      <c r="H26">
        <v>0.47</v>
      </c>
      <c r="I26">
        <v>0.01</v>
      </c>
      <c r="J26">
        <v>1.59</v>
      </c>
      <c r="K26">
        <v>0.01</v>
      </c>
      <c r="L26">
        <v>8.46</v>
      </c>
      <c r="M26">
        <v>29.14</v>
      </c>
      <c r="N26">
        <v>26.23</v>
      </c>
      <c r="O26">
        <v>0.14</v>
      </c>
      <c r="P26">
        <v>0.91</v>
      </c>
      <c r="Q26">
        <v>0.01</v>
      </c>
      <c r="R26">
        <v>0.01</v>
      </c>
    </row>
    <row r="27" spans="1:18">
      <c r="A27" t="s">
        <v>99</v>
      </c>
      <c r="B27" s="1" t="str">
        <f>LEFT(A27,2)</f>
        <v>25</v>
      </c>
      <c r="C27" t="str">
        <f>VLOOKUP(B27,表单1!$A$1:$E$59,3,FALSE)</f>
        <v>铅钡</v>
      </c>
      <c r="D27" t="str">
        <f>VLOOKUP(B27,表单1!$A$1:$E$59,5,FALSE)</f>
        <v>风化</v>
      </c>
      <c r="E27">
        <v>50.61</v>
      </c>
      <c r="F27">
        <v>2.31</v>
      </c>
      <c r="G27">
        <v>0.01</v>
      </c>
      <c r="H27">
        <v>0.63</v>
      </c>
      <c r="I27">
        <v>0.01</v>
      </c>
      <c r="J27">
        <v>1.9</v>
      </c>
      <c r="K27">
        <v>1.55</v>
      </c>
      <c r="L27">
        <v>1.12</v>
      </c>
      <c r="M27">
        <v>31.9</v>
      </c>
      <c r="N27">
        <v>6.65</v>
      </c>
      <c r="O27">
        <v>0.19</v>
      </c>
      <c r="P27">
        <v>0.2</v>
      </c>
      <c r="Q27">
        <v>0.01</v>
      </c>
      <c r="R27">
        <v>0.01</v>
      </c>
    </row>
    <row r="28" spans="1:18">
      <c r="A28" t="s">
        <v>42</v>
      </c>
      <c r="B28" s="1" t="str">
        <f>LEFT(A28,2)</f>
        <v>26</v>
      </c>
      <c r="C28" t="str">
        <f>VLOOKUP(B28,表单1!$A$1:$E$59,3,FALSE)</f>
        <v>铅钡</v>
      </c>
      <c r="D28" t="str">
        <f>VLOOKUP(B28,表单1!$A$1:$E$59,5,FALSE)</f>
        <v>风化</v>
      </c>
      <c r="E28">
        <v>19.79</v>
      </c>
      <c r="F28">
        <v>0.01</v>
      </c>
      <c r="G28">
        <v>0.01</v>
      </c>
      <c r="H28">
        <v>1.44</v>
      </c>
      <c r="I28">
        <v>0.01</v>
      </c>
      <c r="J28">
        <v>0.7</v>
      </c>
      <c r="K28">
        <v>0.01</v>
      </c>
      <c r="L28">
        <v>10.57</v>
      </c>
      <c r="M28">
        <v>29.53</v>
      </c>
      <c r="N28">
        <v>32.25</v>
      </c>
      <c r="O28">
        <v>3.13</v>
      </c>
      <c r="P28">
        <v>0.45</v>
      </c>
      <c r="Q28">
        <v>0.01</v>
      </c>
      <c r="R28">
        <v>1.96</v>
      </c>
    </row>
    <row r="29" spans="1:18">
      <c r="A29" t="s">
        <v>100</v>
      </c>
      <c r="B29" s="1" t="str">
        <f>LEFT(A29,2)</f>
        <v>26</v>
      </c>
      <c r="C29" t="str">
        <f>VLOOKUP(B29,表单1!$A$1:$E$59,3,FALSE)</f>
        <v>铅钡</v>
      </c>
      <c r="D29" t="str">
        <f>VLOOKUP(B29,表单1!$A$1:$E$59,5,FALSE)</f>
        <v>风化</v>
      </c>
      <c r="E29">
        <v>3.72</v>
      </c>
      <c r="F29">
        <v>0.01</v>
      </c>
      <c r="G29">
        <v>0.4</v>
      </c>
      <c r="H29">
        <v>3.01</v>
      </c>
      <c r="I29">
        <v>0.01</v>
      </c>
      <c r="J29">
        <v>1.18</v>
      </c>
      <c r="K29">
        <v>0.01</v>
      </c>
      <c r="L29">
        <v>3.6</v>
      </c>
      <c r="M29">
        <v>29.92</v>
      </c>
      <c r="N29">
        <v>35.45</v>
      </c>
      <c r="O29">
        <v>6.04</v>
      </c>
      <c r="P29">
        <v>0.62</v>
      </c>
      <c r="Q29">
        <v>0.01</v>
      </c>
      <c r="R29">
        <v>15.95</v>
      </c>
    </row>
    <row r="30" spans="1:18">
      <c r="A30" t="s">
        <v>43</v>
      </c>
      <c r="B30" s="1" t="str">
        <f>LEFT(A30,2)</f>
        <v>27</v>
      </c>
      <c r="C30" t="str">
        <f>VLOOKUP(B30,表单1!$A$1:$E$59,3,FALSE)</f>
        <v>高钾</v>
      </c>
      <c r="D30" t="str">
        <f>VLOOKUP(B30,表单1!$A$1:$E$59,5,FALSE)</f>
        <v>风化</v>
      </c>
      <c r="E30">
        <v>92.72</v>
      </c>
      <c r="F30">
        <v>0.01</v>
      </c>
      <c r="G30">
        <v>0.01</v>
      </c>
      <c r="H30">
        <v>0.94</v>
      </c>
      <c r="I30">
        <v>0.54</v>
      </c>
      <c r="J30">
        <v>2.51</v>
      </c>
      <c r="K30">
        <v>0.2</v>
      </c>
      <c r="L30">
        <v>1.54</v>
      </c>
      <c r="M30">
        <v>0.01</v>
      </c>
      <c r="N30">
        <v>0.01</v>
      </c>
      <c r="O30">
        <v>0.36</v>
      </c>
      <c r="P30">
        <v>0.01</v>
      </c>
      <c r="Q30">
        <v>0.01</v>
      </c>
      <c r="R30">
        <v>0.01</v>
      </c>
    </row>
    <row r="31" spans="1:18">
      <c r="A31" t="s">
        <v>101</v>
      </c>
      <c r="B31" s="1" t="str">
        <f>LEFT(A31,2)</f>
        <v>28</v>
      </c>
      <c r="C31" t="str">
        <f>VLOOKUP(B31,表单1!$A$1:$E$59,3,FALSE)</f>
        <v>铅钡</v>
      </c>
      <c r="D31" t="str">
        <f>VLOOKUP(B31,表单1!$A$1:$E$59,5,FALSE)</f>
        <v>风化</v>
      </c>
      <c r="E31">
        <v>68.08</v>
      </c>
      <c r="F31">
        <v>0.01</v>
      </c>
      <c r="G31">
        <v>0.26</v>
      </c>
      <c r="H31">
        <v>1.34</v>
      </c>
      <c r="I31">
        <v>1</v>
      </c>
      <c r="J31">
        <v>4.7</v>
      </c>
      <c r="K31">
        <v>0.41</v>
      </c>
      <c r="L31">
        <v>0.33</v>
      </c>
      <c r="M31">
        <v>17.14</v>
      </c>
      <c r="N31">
        <v>4.04</v>
      </c>
      <c r="O31">
        <v>1.04</v>
      </c>
      <c r="P31">
        <v>0.12</v>
      </c>
      <c r="Q31">
        <v>0.23</v>
      </c>
      <c r="R31">
        <v>0.01</v>
      </c>
    </row>
    <row r="32" spans="1:18">
      <c r="A32" t="s">
        <v>102</v>
      </c>
      <c r="B32" s="1" t="str">
        <f>LEFT(A32,2)</f>
        <v>29</v>
      </c>
      <c r="C32" t="str">
        <f>VLOOKUP(B32,表单1!$A$1:$E$59,3,FALSE)</f>
        <v>铅钡</v>
      </c>
      <c r="D32" t="str">
        <f>VLOOKUP(B32,表单1!$A$1:$E$59,5,FALSE)</f>
        <v>风化</v>
      </c>
      <c r="E32">
        <v>63.3</v>
      </c>
      <c r="F32">
        <v>0.92</v>
      </c>
      <c r="G32">
        <v>0.3</v>
      </c>
      <c r="H32">
        <v>2.98</v>
      </c>
      <c r="I32">
        <v>1.49</v>
      </c>
      <c r="J32">
        <v>14.34</v>
      </c>
      <c r="K32">
        <v>0.81</v>
      </c>
      <c r="L32">
        <v>0.74</v>
      </c>
      <c r="M32">
        <v>12.31</v>
      </c>
      <c r="N32">
        <v>2.03</v>
      </c>
      <c r="O32">
        <v>0.41</v>
      </c>
      <c r="P32">
        <v>0.25</v>
      </c>
      <c r="Q32">
        <v>0.01</v>
      </c>
      <c r="R32">
        <v>0.01</v>
      </c>
    </row>
    <row r="33" spans="1:18">
      <c r="A33" t="s">
        <v>103</v>
      </c>
      <c r="B33" s="1" t="str">
        <f>LEFT(A33,2)</f>
        <v>30</v>
      </c>
      <c r="C33" t="str">
        <f>VLOOKUP(B33,表单1!$A$1:$E$59,3,FALSE)</f>
        <v>铅钡</v>
      </c>
      <c r="D33" t="str">
        <f>VLOOKUP(B33,表单1!$A$1:$E$59,5,FALSE)</f>
        <v>无风化</v>
      </c>
      <c r="E33">
        <v>34.34</v>
      </c>
      <c r="F33">
        <v>0.01</v>
      </c>
      <c r="G33">
        <v>1.41</v>
      </c>
      <c r="H33">
        <v>4.49</v>
      </c>
      <c r="I33">
        <v>0.98</v>
      </c>
      <c r="J33">
        <v>4.35</v>
      </c>
      <c r="K33">
        <v>2.12</v>
      </c>
      <c r="L33">
        <v>0.01</v>
      </c>
      <c r="M33">
        <v>39.22</v>
      </c>
      <c r="N33">
        <v>10.29</v>
      </c>
      <c r="O33">
        <v>0.01</v>
      </c>
      <c r="P33">
        <v>0.35</v>
      </c>
      <c r="Q33">
        <v>0.4</v>
      </c>
      <c r="R33">
        <v>0.01</v>
      </c>
    </row>
    <row r="34" spans="1:18">
      <c r="A34" t="s">
        <v>104</v>
      </c>
      <c r="B34" s="1" t="str">
        <f>LEFT(A34,2)</f>
        <v>30</v>
      </c>
      <c r="C34" t="str">
        <f>VLOOKUP(B34,表单1!$A$1:$E$59,3,FALSE)</f>
        <v>铅钡</v>
      </c>
      <c r="D34" t="str">
        <f>VLOOKUP(B34,表单1!$A$1:$E$59,5,FALSE)</f>
        <v>无风化</v>
      </c>
      <c r="E34">
        <v>36.93</v>
      </c>
      <c r="F34">
        <v>0.01</v>
      </c>
      <c r="G34">
        <v>0.01</v>
      </c>
      <c r="H34">
        <v>4.24</v>
      </c>
      <c r="I34">
        <v>0.51</v>
      </c>
      <c r="J34">
        <v>3.86</v>
      </c>
      <c r="K34">
        <v>2.74</v>
      </c>
      <c r="L34">
        <v>0.01</v>
      </c>
      <c r="M34">
        <v>37.74</v>
      </c>
      <c r="N34">
        <v>10.35</v>
      </c>
      <c r="O34">
        <v>1.41</v>
      </c>
      <c r="P34">
        <v>0.48</v>
      </c>
      <c r="Q34">
        <v>0.44</v>
      </c>
      <c r="R34">
        <v>0.01</v>
      </c>
    </row>
    <row r="35" spans="1:18">
      <c r="A35" t="s">
        <v>47</v>
      </c>
      <c r="B35" s="1" t="str">
        <f>LEFT(A35,2)</f>
        <v>31</v>
      </c>
      <c r="C35" t="str">
        <f>VLOOKUP(B35,表单1!$A$1:$E$59,3,FALSE)</f>
        <v>铅钡</v>
      </c>
      <c r="D35" t="str">
        <f>VLOOKUP(B35,表单1!$A$1:$E$59,5,FALSE)</f>
        <v>无风化</v>
      </c>
      <c r="E35">
        <v>65.91</v>
      </c>
      <c r="F35">
        <v>0.01</v>
      </c>
      <c r="G35">
        <v>0.01</v>
      </c>
      <c r="H35">
        <v>1.6</v>
      </c>
      <c r="I35">
        <v>0.89</v>
      </c>
      <c r="J35">
        <v>3.11</v>
      </c>
      <c r="K35">
        <v>4.59</v>
      </c>
      <c r="L35">
        <v>0.44</v>
      </c>
      <c r="M35">
        <v>16.55</v>
      </c>
      <c r="N35">
        <v>3.42</v>
      </c>
      <c r="O35">
        <v>1.62</v>
      </c>
      <c r="P35">
        <v>0.3</v>
      </c>
      <c r="Q35">
        <v>0.01</v>
      </c>
      <c r="R35">
        <v>0.01</v>
      </c>
    </row>
    <row r="36" spans="1:18">
      <c r="A36" t="s">
        <v>48</v>
      </c>
      <c r="B36" s="1" t="str">
        <f>LEFT(A36,2)</f>
        <v>32</v>
      </c>
      <c r="C36" t="str">
        <f>VLOOKUP(B36,表单1!$A$1:$E$59,3,FALSE)</f>
        <v>铅钡</v>
      </c>
      <c r="D36" t="str">
        <f>VLOOKUP(B36,表单1!$A$1:$E$59,5,FALSE)</f>
        <v>无风化</v>
      </c>
      <c r="E36">
        <v>69.71</v>
      </c>
      <c r="F36">
        <v>0.01</v>
      </c>
      <c r="G36">
        <v>0.21</v>
      </c>
      <c r="H36">
        <v>0.46</v>
      </c>
      <c r="I36">
        <v>0.01</v>
      </c>
      <c r="J36">
        <v>2.36</v>
      </c>
      <c r="K36">
        <v>1</v>
      </c>
      <c r="L36">
        <v>0.11</v>
      </c>
      <c r="M36">
        <v>19.76</v>
      </c>
      <c r="N36">
        <v>4.88</v>
      </c>
      <c r="O36">
        <v>0.17</v>
      </c>
      <c r="P36">
        <v>0.01</v>
      </c>
      <c r="Q36">
        <v>0.01</v>
      </c>
      <c r="R36">
        <v>0.01</v>
      </c>
    </row>
    <row r="37" spans="1:18">
      <c r="A37" t="s">
        <v>50</v>
      </c>
      <c r="B37" s="1" t="str">
        <f>LEFT(A37,2)</f>
        <v>33</v>
      </c>
      <c r="C37" t="str">
        <f>VLOOKUP(B37,表单1!$A$1:$E$59,3,FALSE)</f>
        <v>铅钡</v>
      </c>
      <c r="D37" t="str">
        <f>VLOOKUP(B37,表单1!$A$1:$E$59,5,FALSE)</f>
        <v>无风化</v>
      </c>
      <c r="E37">
        <v>75.51</v>
      </c>
      <c r="F37">
        <v>0.01</v>
      </c>
      <c r="G37">
        <v>0.15</v>
      </c>
      <c r="H37">
        <v>0.64</v>
      </c>
      <c r="I37">
        <v>1</v>
      </c>
      <c r="J37">
        <v>2.35</v>
      </c>
      <c r="K37">
        <v>0.01</v>
      </c>
      <c r="L37">
        <v>0.47</v>
      </c>
      <c r="M37">
        <v>16.16</v>
      </c>
      <c r="N37">
        <v>3.55</v>
      </c>
      <c r="O37">
        <v>0.13</v>
      </c>
      <c r="P37">
        <v>0.01</v>
      </c>
      <c r="Q37">
        <v>0.01</v>
      </c>
      <c r="R37">
        <v>0.01</v>
      </c>
    </row>
    <row r="38" spans="1:18">
      <c r="A38" t="s">
        <v>51</v>
      </c>
      <c r="B38" s="1" t="str">
        <f>LEFT(A38,2)</f>
        <v>34</v>
      </c>
      <c r="C38" t="str">
        <f>VLOOKUP(B38,表单1!$A$1:$E$59,3,FALSE)</f>
        <v>铅钡</v>
      </c>
      <c r="D38" t="str">
        <f>VLOOKUP(B38,表单1!$A$1:$E$59,5,FALSE)</f>
        <v>风化</v>
      </c>
      <c r="E38">
        <v>35.78</v>
      </c>
      <c r="F38">
        <v>0.01</v>
      </c>
      <c r="G38">
        <v>0.25</v>
      </c>
      <c r="H38">
        <v>0.78</v>
      </c>
      <c r="I38">
        <v>0.01</v>
      </c>
      <c r="J38">
        <v>1.62</v>
      </c>
      <c r="K38">
        <v>0.47</v>
      </c>
      <c r="L38">
        <v>1.51</v>
      </c>
      <c r="M38">
        <v>46.55</v>
      </c>
      <c r="N38">
        <v>10</v>
      </c>
      <c r="O38">
        <v>0.34</v>
      </c>
      <c r="P38">
        <v>0.22</v>
      </c>
      <c r="Q38">
        <v>0.01</v>
      </c>
      <c r="R38">
        <v>0.01</v>
      </c>
    </row>
    <row r="39" spans="1:18">
      <c r="A39" t="s">
        <v>52</v>
      </c>
      <c r="B39" s="1" t="str">
        <f>LEFT(A39,2)</f>
        <v>35</v>
      </c>
      <c r="C39" t="str">
        <f>VLOOKUP(B39,表单1!$A$1:$E$59,3,FALSE)</f>
        <v>铅钡</v>
      </c>
      <c r="D39" t="str">
        <f>VLOOKUP(B39,表单1!$A$1:$E$59,5,FALSE)</f>
        <v>无风化</v>
      </c>
      <c r="E39">
        <v>65.91</v>
      </c>
      <c r="F39">
        <v>0.01</v>
      </c>
      <c r="G39">
        <v>0.01</v>
      </c>
      <c r="H39">
        <v>0.38</v>
      </c>
      <c r="I39">
        <v>0.01</v>
      </c>
      <c r="J39">
        <v>1.44</v>
      </c>
      <c r="K39">
        <v>0.17</v>
      </c>
      <c r="L39">
        <v>0.16</v>
      </c>
      <c r="M39">
        <v>22.05</v>
      </c>
      <c r="N39">
        <v>5.68</v>
      </c>
      <c r="O39">
        <v>0.42</v>
      </c>
      <c r="P39">
        <v>0.01</v>
      </c>
      <c r="Q39">
        <v>0.01</v>
      </c>
      <c r="R39">
        <v>0.01</v>
      </c>
    </row>
    <row r="40" spans="1:18">
      <c r="A40" t="s">
        <v>53</v>
      </c>
      <c r="B40" s="1" t="str">
        <f>LEFT(A40,2)</f>
        <v>36</v>
      </c>
      <c r="C40" t="str">
        <f>VLOOKUP(B40,表单1!$A$1:$E$59,3,FALSE)</f>
        <v>铅钡</v>
      </c>
      <c r="D40" t="str">
        <f>VLOOKUP(B40,表单1!$A$1:$E$59,5,FALSE)</f>
        <v>风化</v>
      </c>
      <c r="E40">
        <v>39.57</v>
      </c>
      <c r="F40">
        <v>2.22</v>
      </c>
      <c r="G40">
        <v>0.14</v>
      </c>
      <c r="H40">
        <v>0.37</v>
      </c>
      <c r="I40">
        <v>0.01</v>
      </c>
      <c r="J40">
        <v>1.6</v>
      </c>
      <c r="K40">
        <v>0.32</v>
      </c>
      <c r="L40">
        <v>0.68</v>
      </c>
      <c r="M40">
        <v>41.61</v>
      </c>
      <c r="N40">
        <v>10.83</v>
      </c>
      <c r="O40">
        <v>0.07</v>
      </c>
      <c r="P40">
        <v>0.22</v>
      </c>
      <c r="Q40">
        <v>0.01</v>
      </c>
      <c r="R40">
        <v>0.01</v>
      </c>
    </row>
    <row r="41" spans="1:18">
      <c r="A41" t="s">
        <v>54</v>
      </c>
      <c r="B41" s="1" t="str">
        <f>LEFT(A41,2)</f>
        <v>37</v>
      </c>
      <c r="C41" t="str">
        <f>VLOOKUP(B41,表单1!$A$1:$E$59,3,FALSE)</f>
        <v>铅钡</v>
      </c>
      <c r="D41" t="str">
        <f>VLOOKUP(B41,表单1!$A$1:$E$59,5,FALSE)</f>
        <v>无风化</v>
      </c>
      <c r="E41">
        <v>60.12</v>
      </c>
      <c r="F41">
        <v>0.01</v>
      </c>
      <c r="G41">
        <v>0.23</v>
      </c>
      <c r="H41">
        <v>0.89</v>
      </c>
      <c r="I41">
        <v>0.01</v>
      </c>
      <c r="J41">
        <v>2.72</v>
      </c>
      <c r="K41">
        <v>0.01</v>
      </c>
      <c r="L41">
        <v>3.01</v>
      </c>
      <c r="M41">
        <v>17.24</v>
      </c>
      <c r="N41">
        <v>10.34</v>
      </c>
      <c r="O41">
        <v>1.46</v>
      </c>
      <c r="P41">
        <v>0.31</v>
      </c>
      <c r="Q41">
        <v>0.01</v>
      </c>
      <c r="R41">
        <v>3.66</v>
      </c>
    </row>
    <row r="42" spans="1:18">
      <c r="A42" t="s">
        <v>55</v>
      </c>
      <c r="B42" s="1" t="str">
        <f>LEFT(A42,2)</f>
        <v>38</v>
      </c>
      <c r="C42" t="str">
        <f>VLOOKUP(B42,表单1!$A$1:$E$59,3,FALSE)</f>
        <v>铅钡</v>
      </c>
      <c r="D42" t="str">
        <f>VLOOKUP(B42,表单1!$A$1:$E$59,5,FALSE)</f>
        <v>风化</v>
      </c>
      <c r="E42">
        <v>32.93</v>
      </c>
      <c r="F42">
        <v>1.38</v>
      </c>
      <c r="G42">
        <v>0.01</v>
      </c>
      <c r="H42">
        <v>0.68</v>
      </c>
      <c r="I42">
        <v>0.01</v>
      </c>
      <c r="J42">
        <v>2.57</v>
      </c>
      <c r="K42">
        <v>0.29</v>
      </c>
      <c r="L42">
        <v>0.73</v>
      </c>
      <c r="M42">
        <v>49.31</v>
      </c>
      <c r="N42">
        <v>9.79</v>
      </c>
      <c r="O42">
        <v>0.48</v>
      </c>
      <c r="P42">
        <v>0.41</v>
      </c>
      <c r="Q42">
        <v>0.01</v>
      </c>
      <c r="R42">
        <v>0.01</v>
      </c>
    </row>
    <row r="43" spans="1:18">
      <c r="A43" t="s">
        <v>56</v>
      </c>
      <c r="B43" s="1" t="str">
        <f>LEFT(A43,2)</f>
        <v>39</v>
      </c>
      <c r="C43" t="str">
        <f>VLOOKUP(B43,表单1!$A$1:$E$59,3,FALSE)</f>
        <v>铅钡</v>
      </c>
      <c r="D43" t="str">
        <f>VLOOKUP(B43,表单1!$A$1:$E$59,5,FALSE)</f>
        <v>风化</v>
      </c>
      <c r="E43">
        <v>26.25</v>
      </c>
      <c r="F43">
        <v>0.01</v>
      </c>
      <c r="G43">
        <v>0.01</v>
      </c>
      <c r="H43">
        <v>1.11</v>
      </c>
      <c r="I43">
        <v>0.01</v>
      </c>
      <c r="J43">
        <v>0.5</v>
      </c>
      <c r="K43">
        <v>0.01</v>
      </c>
      <c r="L43">
        <v>0.88</v>
      </c>
      <c r="M43">
        <v>61.03</v>
      </c>
      <c r="N43">
        <v>7.22</v>
      </c>
      <c r="O43">
        <v>1.16</v>
      </c>
      <c r="P43">
        <v>0.61</v>
      </c>
      <c r="Q43">
        <v>0.01</v>
      </c>
      <c r="R43">
        <v>0.01</v>
      </c>
    </row>
    <row r="44" spans="1:18">
      <c r="A44" t="s">
        <v>57</v>
      </c>
      <c r="B44" s="1" t="str">
        <f>LEFT(A44,2)</f>
        <v>40</v>
      </c>
      <c r="C44" t="str">
        <f>VLOOKUP(B44,表单1!$A$1:$E$59,3,FALSE)</f>
        <v>铅钡</v>
      </c>
      <c r="D44" t="str">
        <f>VLOOKUP(B44,表单1!$A$1:$E$59,5,FALSE)</f>
        <v>风化</v>
      </c>
      <c r="E44">
        <v>16.71</v>
      </c>
      <c r="F44">
        <v>0.01</v>
      </c>
      <c r="G44">
        <v>0.01</v>
      </c>
      <c r="H44">
        <v>1.87</v>
      </c>
      <c r="I44">
        <v>0.01</v>
      </c>
      <c r="J44">
        <v>0.45</v>
      </c>
      <c r="K44">
        <v>0.19</v>
      </c>
      <c r="L44">
        <v>0.01</v>
      </c>
      <c r="M44">
        <v>70.21</v>
      </c>
      <c r="N44">
        <v>6.69</v>
      </c>
      <c r="O44">
        <v>1.77</v>
      </c>
      <c r="P44">
        <v>0.68</v>
      </c>
      <c r="Q44">
        <v>0.01</v>
      </c>
      <c r="R44">
        <v>0.01</v>
      </c>
    </row>
    <row r="45" spans="1:18">
      <c r="A45" t="s">
        <v>58</v>
      </c>
      <c r="B45" s="1" t="str">
        <f>LEFT(A45,2)</f>
        <v>41</v>
      </c>
      <c r="C45" t="str">
        <f>VLOOKUP(B45,表单1!$A$1:$E$59,3,FALSE)</f>
        <v>铅钡</v>
      </c>
      <c r="D45" t="str">
        <f>VLOOKUP(B45,表单1!$A$1:$E$59,5,FALSE)</f>
        <v>风化</v>
      </c>
      <c r="E45">
        <v>18.46</v>
      </c>
      <c r="F45">
        <v>0.01</v>
      </c>
      <c r="G45">
        <v>0.44</v>
      </c>
      <c r="H45">
        <v>4.96</v>
      </c>
      <c r="I45">
        <v>2.73</v>
      </c>
      <c r="J45">
        <v>3.33</v>
      </c>
      <c r="K45">
        <v>1.79</v>
      </c>
      <c r="L45">
        <v>0.19</v>
      </c>
      <c r="M45">
        <v>44.12</v>
      </c>
      <c r="N45">
        <v>9.76</v>
      </c>
      <c r="O45">
        <v>7.46</v>
      </c>
      <c r="P45">
        <v>0.47</v>
      </c>
      <c r="Q45">
        <v>0.01</v>
      </c>
      <c r="R45">
        <v>0.01</v>
      </c>
    </row>
    <row r="46" spans="1:18">
      <c r="A46" t="s">
        <v>105</v>
      </c>
      <c r="B46" s="1" t="str">
        <f>LEFT(A46,2)</f>
        <v>42</v>
      </c>
      <c r="C46" t="str">
        <f>VLOOKUP(B46,表单1!$A$1:$E$59,3,FALSE)</f>
        <v>铅钡</v>
      </c>
      <c r="D46" t="str">
        <f>VLOOKUP(B46,表单1!$A$1:$E$59,5,FALSE)</f>
        <v>风化</v>
      </c>
      <c r="E46">
        <v>51.26</v>
      </c>
      <c r="F46">
        <v>5.74</v>
      </c>
      <c r="G46">
        <v>0.15</v>
      </c>
      <c r="H46">
        <v>0.79</v>
      </c>
      <c r="I46">
        <v>1.09</v>
      </c>
      <c r="J46">
        <v>3.53</v>
      </c>
      <c r="K46">
        <v>0.01</v>
      </c>
      <c r="L46">
        <v>2.67</v>
      </c>
      <c r="M46">
        <v>21.88</v>
      </c>
      <c r="N46">
        <v>10.47</v>
      </c>
      <c r="O46">
        <v>0.08</v>
      </c>
      <c r="P46">
        <v>0.35</v>
      </c>
      <c r="Q46">
        <v>0.01</v>
      </c>
      <c r="R46">
        <v>0.01</v>
      </c>
    </row>
    <row r="47" spans="1:18">
      <c r="A47" t="s">
        <v>106</v>
      </c>
      <c r="B47" s="1" t="str">
        <f>LEFT(A47,2)</f>
        <v>42</v>
      </c>
      <c r="C47" t="str">
        <f>VLOOKUP(B47,表单1!$A$1:$E$59,3,FALSE)</f>
        <v>铅钡</v>
      </c>
      <c r="D47" t="str">
        <f>VLOOKUP(B47,表单1!$A$1:$E$59,5,FALSE)</f>
        <v>风化</v>
      </c>
      <c r="E47">
        <v>51.33</v>
      </c>
      <c r="F47">
        <v>5.68</v>
      </c>
      <c r="G47">
        <v>0.35</v>
      </c>
      <c r="H47">
        <v>0.01</v>
      </c>
      <c r="I47">
        <v>1.16</v>
      </c>
      <c r="J47">
        <v>5.66</v>
      </c>
      <c r="K47">
        <v>0.01</v>
      </c>
      <c r="L47">
        <v>2.72</v>
      </c>
      <c r="M47">
        <v>20.12</v>
      </c>
      <c r="N47">
        <v>10.88</v>
      </c>
      <c r="O47">
        <v>0.01</v>
      </c>
      <c r="P47">
        <v>0.01</v>
      </c>
      <c r="Q47">
        <v>0.01</v>
      </c>
      <c r="R47">
        <v>0.01</v>
      </c>
    </row>
    <row r="48" spans="1:18">
      <c r="A48" t="s">
        <v>107</v>
      </c>
      <c r="B48" s="1" t="str">
        <f>LEFT(A48,2)</f>
        <v>43</v>
      </c>
      <c r="C48" t="str">
        <f>VLOOKUP(B48,表单1!$A$1:$E$59,3,FALSE)</f>
        <v>铅钡</v>
      </c>
      <c r="D48" t="str">
        <f>VLOOKUP(B48,表单1!$A$1:$E$59,5,FALSE)</f>
        <v>风化</v>
      </c>
      <c r="E48">
        <v>12.41</v>
      </c>
      <c r="F48">
        <v>0.01</v>
      </c>
      <c r="G48">
        <v>0.01</v>
      </c>
      <c r="H48">
        <v>5.24</v>
      </c>
      <c r="I48">
        <v>0.89</v>
      </c>
      <c r="J48">
        <v>2.25</v>
      </c>
      <c r="K48">
        <v>0.76</v>
      </c>
      <c r="L48">
        <v>5.35</v>
      </c>
      <c r="M48">
        <v>59.85</v>
      </c>
      <c r="N48">
        <v>7.29</v>
      </c>
      <c r="O48">
        <v>0.01</v>
      </c>
      <c r="P48">
        <v>0.64</v>
      </c>
      <c r="Q48">
        <v>0.01</v>
      </c>
      <c r="R48">
        <v>0.01</v>
      </c>
    </row>
    <row r="49" spans="1:18">
      <c r="A49" t="s">
        <v>108</v>
      </c>
      <c r="B49" s="1" t="str">
        <f>LEFT(A49,2)</f>
        <v>43</v>
      </c>
      <c r="C49" t="str">
        <f>VLOOKUP(B49,表单1!$A$1:$E$59,3,FALSE)</f>
        <v>铅钡</v>
      </c>
      <c r="D49" t="str">
        <f>VLOOKUP(B49,表单1!$A$1:$E$59,5,FALSE)</f>
        <v>风化</v>
      </c>
      <c r="E49">
        <v>21.7</v>
      </c>
      <c r="F49">
        <v>0.01</v>
      </c>
      <c r="G49">
        <v>0.01</v>
      </c>
      <c r="H49">
        <v>6.4</v>
      </c>
      <c r="I49">
        <v>0.95</v>
      </c>
      <c r="J49">
        <v>3.41</v>
      </c>
      <c r="K49">
        <v>1.39</v>
      </c>
      <c r="L49">
        <v>1.51</v>
      </c>
      <c r="M49">
        <v>44.75</v>
      </c>
      <c r="N49">
        <v>3.26</v>
      </c>
      <c r="O49">
        <v>12.83</v>
      </c>
      <c r="P49">
        <v>0.47</v>
      </c>
      <c r="Q49">
        <v>0.01</v>
      </c>
      <c r="R49">
        <v>0.01</v>
      </c>
    </row>
    <row r="50" spans="1:18">
      <c r="A50" t="s">
        <v>109</v>
      </c>
      <c r="B50" s="1" t="str">
        <f>LEFT(A50,2)</f>
        <v>44</v>
      </c>
      <c r="C50" t="str">
        <f>VLOOKUP(B50,表单1!$A$1:$E$59,3,FALSE)</f>
        <v>铅钡</v>
      </c>
      <c r="D50" t="str">
        <f>VLOOKUP(B50,表单1!$A$1:$E$59,5,FALSE)</f>
        <v>风化</v>
      </c>
      <c r="E50">
        <v>60.74</v>
      </c>
      <c r="F50">
        <v>3.06</v>
      </c>
      <c r="G50">
        <v>0.2</v>
      </c>
      <c r="H50">
        <v>2.14</v>
      </c>
      <c r="I50">
        <v>0.01</v>
      </c>
      <c r="J50">
        <v>12.69</v>
      </c>
      <c r="K50">
        <v>0.77</v>
      </c>
      <c r="L50">
        <v>0.43</v>
      </c>
      <c r="M50">
        <v>13.61</v>
      </c>
      <c r="N50">
        <v>5.22</v>
      </c>
      <c r="O50">
        <v>0.01</v>
      </c>
      <c r="P50">
        <v>0.26</v>
      </c>
      <c r="Q50">
        <v>0.01</v>
      </c>
      <c r="R50">
        <v>0.01</v>
      </c>
    </row>
    <row r="51" spans="1:18">
      <c r="A51" t="s">
        <v>62</v>
      </c>
      <c r="B51" s="1" t="str">
        <f>LEFT(A51,2)</f>
        <v>45</v>
      </c>
      <c r="C51" t="str">
        <f>VLOOKUP(B51,表单1!$A$1:$E$59,3,FALSE)</f>
        <v>铅钡</v>
      </c>
      <c r="D51" t="str">
        <f>VLOOKUP(B51,表单1!$A$1:$E$59,5,FALSE)</f>
        <v>无风化</v>
      </c>
      <c r="E51">
        <v>61.28</v>
      </c>
      <c r="F51">
        <v>2.66</v>
      </c>
      <c r="G51">
        <v>0.11</v>
      </c>
      <c r="H51">
        <v>0.84</v>
      </c>
      <c r="I51">
        <v>0.74</v>
      </c>
      <c r="J51">
        <v>5</v>
      </c>
      <c r="K51">
        <v>0.01</v>
      </c>
      <c r="L51">
        <v>0.53</v>
      </c>
      <c r="M51">
        <v>15.99</v>
      </c>
      <c r="N51">
        <v>10.96</v>
      </c>
      <c r="O51">
        <v>0.01</v>
      </c>
      <c r="P51">
        <v>0.23</v>
      </c>
      <c r="Q51">
        <v>0.01</v>
      </c>
      <c r="R51">
        <v>0.01</v>
      </c>
    </row>
    <row r="52" spans="1:18">
      <c r="A52" t="s">
        <v>63</v>
      </c>
      <c r="B52" s="1" t="str">
        <f>LEFT(A52,2)</f>
        <v>46</v>
      </c>
      <c r="C52" t="str">
        <f>VLOOKUP(B52,表单1!$A$1:$E$59,3,FALSE)</f>
        <v>铅钡</v>
      </c>
      <c r="D52" t="str">
        <f>VLOOKUP(B52,表单1!$A$1:$E$59,5,FALSE)</f>
        <v>无风化</v>
      </c>
      <c r="E52">
        <v>55.21</v>
      </c>
      <c r="F52">
        <v>0.01</v>
      </c>
      <c r="G52">
        <v>0.25</v>
      </c>
      <c r="H52">
        <v>0.01</v>
      </c>
      <c r="I52">
        <v>1.67</v>
      </c>
      <c r="J52">
        <v>4.79</v>
      </c>
      <c r="K52">
        <v>0.01</v>
      </c>
      <c r="L52">
        <v>0.77</v>
      </c>
      <c r="M52">
        <v>25.25</v>
      </c>
      <c r="N52">
        <v>10.06</v>
      </c>
      <c r="O52">
        <v>0.2</v>
      </c>
      <c r="P52">
        <v>0.43</v>
      </c>
      <c r="Q52">
        <v>0.01</v>
      </c>
      <c r="R52">
        <v>0.01</v>
      </c>
    </row>
    <row r="53" spans="1:18">
      <c r="A53" t="s">
        <v>64</v>
      </c>
      <c r="B53" s="1" t="str">
        <f>LEFT(A53,2)</f>
        <v>47</v>
      </c>
      <c r="C53" t="str">
        <f>VLOOKUP(B53,表单1!$A$1:$E$59,3,FALSE)</f>
        <v>铅钡</v>
      </c>
      <c r="D53" t="str">
        <f>VLOOKUP(B53,表单1!$A$1:$E$59,5,FALSE)</f>
        <v>无风化</v>
      </c>
      <c r="E53">
        <v>51.54</v>
      </c>
      <c r="F53">
        <v>4.66</v>
      </c>
      <c r="G53">
        <v>0.29</v>
      </c>
      <c r="H53">
        <v>0.87</v>
      </c>
      <c r="I53">
        <v>0.61</v>
      </c>
      <c r="J53">
        <v>3.06</v>
      </c>
      <c r="K53">
        <v>0.01</v>
      </c>
      <c r="L53">
        <v>0.65</v>
      </c>
      <c r="M53">
        <v>25.4</v>
      </c>
      <c r="N53">
        <v>9.23</v>
      </c>
      <c r="O53">
        <v>0.1</v>
      </c>
      <c r="P53">
        <v>0.85</v>
      </c>
      <c r="Q53">
        <v>0.01</v>
      </c>
      <c r="R53">
        <v>0.01</v>
      </c>
    </row>
    <row r="54" spans="1:18">
      <c r="A54" t="s">
        <v>65</v>
      </c>
      <c r="B54" s="1" t="str">
        <f>LEFT(A54,2)</f>
        <v>48</v>
      </c>
      <c r="C54" t="str">
        <f>VLOOKUP(B54,表单1!$A$1:$E$59,3,FALSE)</f>
        <v>铅钡</v>
      </c>
      <c r="D54" t="str">
        <f>VLOOKUP(B54,表单1!$A$1:$E$59,5,FALSE)</f>
        <v>风化</v>
      </c>
      <c r="E54">
        <v>53.33</v>
      </c>
      <c r="F54">
        <v>0.8</v>
      </c>
      <c r="G54">
        <v>0.32</v>
      </c>
      <c r="H54">
        <v>2.82</v>
      </c>
      <c r="I54">
        <v>1.54</v>
      </c>
      <c r="J54">
        <v>13.65</v>
      </c>
      <c r="K54">
        <v>1.03</v>
      </c>
      <c r="L54">
        <v>0.01</v>
      </c>
      <c r="M54">
        <v>15.71</v>
      </c>
      <c r="N54">
        <v>7.31</v>
      </c>
      <c r="O54">
        <v>1.1</v>
      </c>
      <c r="P54">
        <v>0.25</v>
      </c>
      <c r="Q54">
        <v>1.31</v>
      </c>
      <c r="R54">
        <v>0.01</v>
      </c>
    </row>
    <row r="55" spans="1:18">
      <c r="A55" t="s">
        <v>66</v>
      </c>
      <c r="B55" s="1" t="str">
        <f>LEFT(A55,2)</f>
        <v>49</v>
      </c>
      <c r="C55" t="str">
        <f>VLOOKUP(B55,表单1!$A$1:$E$59,3,FALSE)</f>
        <v>铅钡</v>
      </c>
      <c r="D55" t="str">
        <f>VLOOKUP(B55,表单1!$A$1:$E$59,5,FALSE)</f>
        <v>风化</v>
      </c>
      <c r="E55">
        <v>28.79</v>
      </c>
      <c r="F55">
        <v>0.01</v>
      </c>
      <c r="G55">
        <v>0.01</v>
      </c>
      <c r="H55">
        <v>4.58</v>
      </c>
      <c r="I55">
        <v>1.47</v>
      </c>
      <c r="J55">
        <v>5.38</v>
      </c>
      <c r="K55">
        <v>2.74</v>
      </c>
      <c r="L55">
        <v>0.7</v>
      </c>
      <c r="M55">
        <v>34.18</v>
      </c>
      <c r="N55">
        <v>6.1</v>
      </c>
      <c r="O55">
        <v>11.1</v>
      </c>
      <c r="P55">
        <v>0.46</v>
      </c>
      <c r="Q55">
        <v>0.01</v>
      </c>
      <c r="R55">
        <v>0.01</v>
      </c>
    </row>
    <row r="56" spans="1:18">
      <c r="A56" t="s">
        <v>110</v>
      </c>
      <c r="B56" s="1" t="str">
        <f>LEFT(A56,2)</f>
        <v>49</v>
      </c>
      <c r="C56" t="str">
        <f>VLOOKUP(B56,表单1!$A$1:$E$59,3,FALSE)</f>
        <v>铅钡</v>
      </c>
      <c r="D56" t="str">
        <f>VLOOKUP(B56,表单1!$A$1:$E$59,5,FALSE)</f>
        <v>风化</v>
      </c>
      <c r="E56">
        <v>54.61</v>
      </c>
      <c r="F56">
        <v>0.01</v>
      </c>
      <c r="G56">
        <v>0.3</v>
      </c>
      <c r="H56">
        <v>2.08</v>
      </c>
      <c r="I56">
        <v>1.2</v>
      </c>
      <c r="J56">
        <v>6.5</v>
      </c>
      <c r="K56">
        <v>1.27</v>
      </c>
      <c r="L56">
        <v>0.45</v>
      </c>
      <c r="M56">
        <v>23.02</v>
      </c>
      <c r="N56">
        <v>4.19</v>
      </c>
      <c r="O56">
        <v>4.32</v>
      </c>
      <c r="P56">
        <v>0.3</v>
      </c>
      <c r="Q56">
        <v>0.01</v>
      </c>
      <c r="R56">
        <v>0.01</v>
      </c>
    </row>
    <row r="57" spans="1:18">
      <c r="A57" t="s">
        <v>68</v>
      </c>
      <c r="B57" s="1" t="str">
        <f>LEFT(A57,2)</f>
        <v>50</v>
      </c>
      <c r="C57" t="str">
        <f>VLOOKUP(B57,表单1!$A$1:$E$59,3,FALSE)</f>
        <v>铅钡</v>
      </c>
      <c r="D57" t="str">
        <f>VLOOKUP(B57,表单1!$A$1:$E$59,5,FALSE)</f>
        <v>风化</v>
      </c>
      <c r="E57">
        <v>17.98</v>
      </c>
      <c r="F57">
        <v>0.01</v>
      </c>
      <c r="G57">
        <v>0.01</v>
      </c>
      <c r="H57">
        <v>3.19</v>
      </c>
      <c r="I57">
        <v>0.47</v>
      </c>
      <c r="J57">
        <v>1.87</v>
      </c>
      <c r="K57">
        <v>0.33</v>
      </c>
      <c r="L57">
        <v>1.13</v>
      </c>
      <c r="M57">
        <v>44</v>
      </c>
      <c r="N57">
        <v>14.2</v>
      </c>
      <c r="O57">
        <v>6.34</v>
      </c>
      <c r="P57">
        <v>0.66</v>
      </c>
      <c r="Q57">
        <v>0.01</v>
      </c>
      <c r="R57">
        <v>0.01</v>
      </c>
    </row>
    <row r="58" spans="1:18">
      <c r="A58" t="s">
        <v>111</v>
      </c>
      <c r="B58" s="1" t="str">
        <f>LEFT(A58,2)</f>
        <v>50</v>
      </c>
      <c r="C58" t="str">
        <f>VLOOKUP(B58,表单1!$A$1:$E$59,3,FALSE)</f>
        <v>铅钡</v>
      </c>
      <c r="D58" t="str">
        <f>VLOOKUP(B58,表单1!$A$1:$E$59,5,FALSE)</f>
        <v>风化</v>
      </c>
      <c r="E58">
        <v>45.02</v>
      </c>
      <c r="F58">
        <v>0.01</v>
      </c>
      <c r="G58">
        <v>0.01</v>
      </c>
      <c r="H58">
        <v>3.12</v>
      </c>
      <c r="I58">
        <v>0.54</v>
      </c>
      <c r="J58">
        <v>4.16</v>
      </c>
      <c r="K58">
        <v>0.01</v>
      </c>
      <c r="L58">
        <v>0.7</v>
      </c>
      <c r="M58">
        <v>30.61</v>
      </c>
      <c r="N58">
        <v>6.22</v>
      </c>
      <c r="O58">
        <v>6.34</v>
      </c>
      <c r="P58">
        <v>0.23</v>
      </c>
      <c r="Q58">
        <v>0.01</v>
      </c>
      <c r="R58">
        <v>0.01</v>
      </c>
    </row>
    <row r="59" spans="1:18">
      <c r="A59" t="s">
        <v>112</v>
      </c>
      <c r="B59" s="1" t="str">
        <f>LEFT(A59,2)</f>
        <v>51</v>
      </c>
      <c r="C59" t="str">
        <f>VLOOKUP(B59,表单1!$A$1:$E$59,3,FALSE)</f>
        <v>铅钡</v>
      </c>
      <c r="D59" t="str">
        <f>VLOOKUP(B59,表单1!$A$1:$E$59,5,FALSE)</f>
        <v>风化</v>
      </c>
      <c r="E59">
        <v>24.61</v>
      </c>
      <c r="F59">
        <v>0.01</v>
      </c>
      <c r="G59">
        <v>0.01</v>
      </c>
      <c r="H59">
        <v>3.58</v>
      </c>
      <c r="I59">
        <v>1.19</v>
      </c>
      <c r="J59">
        <v>5.25</v>
      </c>
      <c r="K59">
        <v>1.19</v>
      </c>
      <c r="L59">
        <v>1.37</v>
      </c>
      <c r="M59">
        <v>40.24</v>
      </c>
      <c r="N59">
        <v>8.94</v>
      </c>
      <c r="O59">
        <v>8.1</v>
      </c>
      <c r="P59">
        <v>0.39</v>
      </c>
      <c r="Q59">
        <v>0.47</v>
      </c>
      <c r="R59">
        <v>0.01</v>
      </c>
    </row>
    <row r="60" spans="1:18">
      <c r="A60" t="s">
        <v>113</v>
      </c>
      <c r="B60" s="1" t="str">
        <f>LEFT(A60,2)</f>
        <v>51</v>
      </c>
      <c r="C60" t="str">
        <f>VLOOKUP(B60,表单1!$A$1:$E$59,3,FALSE)</f>
        <v>铅钡</v>
      </c>
      <c r="D60" t="str">
        <f>VLOOKUP(B60,表单1!$A$1:$E$59,5,FALSE)</f>
        <v>风化</v>
      </c>
      <c r="E60">
        <v>21.35</v>
      </c>
      <c r="F60">
        <v>0.01</v>
      </c>
      <c r="G60">
        <v>0.01</v>
      </c>
      <c r="H60">
        <v>5.13</v>
      </c>
      <c r="I60">
        <v>1.45</v>
      </c>
      <c r="J60">
        <v>2.51</v>
      </c>
      <c r="K60">
        <v>0.42</v>
      </c>
      <c r="L60">
        <v>0.75</v>
      </c>
      <c r="M60">
        <v>51.34</v>
      </c>
      <c r="N60">
        <v>0.01</v>
      </c>
      <c r="O60">
        <v>8.75</v>
      </c>
      <c r="P60">
        <v>0.01</v>
      </c>
      <c r="Q60">
        <v>0.01</v>
      </c>
      <c r="R60">
        <v>0.01</v>
      </c>
    </row>
    <row r="61" spans="1:18">
      <c r="A61" t="s">
        <v>70</v>
      </c>
      <c r="B61" s="1" t="str">
        <f>LEFT(A61,2)</f>
        <v>52</v>
      </c>
      <c r="C61" t="str">
        <f>VLOOKUP(B61,表单1!$A$1:$E$59,3,FALSE)</f>
        <v>铅钡</v>
      </c>
      <c r="D61" t="str">
        <f>VLOOKUP(B61,表单1!$A$1:$E$59,5,FALSE)</f>
        <v>风化</v>
      </c>
      <c r="E61">
        <v>25.74</v>
      </c>
      <c r="F61">
        <v>1.22</v>
      </c>
      <c r="G61">
        <v>0.01</v>
      </c>
      <c r="H61">
        <v>2.27</v>
      </c>
      <c r="I61">
        <v>0.55</v>
      </c>
      <c r="J61">
        <v>1.16</v>
      </c>
      <c r="K61">
        <v>0.23</v>
      </c>
      <c r="L61">
        <v>0.7</v>
      </c>
      <c r="M61">
        <v>47.42</v>
      </c>
      <c r="N61">
        <v>8.64</v>
      </c>
      <c r="O61">
        <v>5.71</v>
      </c>
      <c r="P61">
        <v>0.44</v>
      </c>
      <c r="Q61">
        <v>0.01</v>
      </c>
      <c r="R61">
        <v>0.01</v>
      </c>
    </row>
    <row r="62" spans="1:18">
      <c r="A62" t="s">
        <v>114</v>
      </c>
      <c r="B62" s="1" t="str">
        <f>LEFT(A62,2)</f>
        <v>53</v>
      </c>
      <c r="C62" t="str">
        <f>VLOOKUP(B62,表单1!$A$1:$E$59,3,FALSE)</f>
        <v>铅钡</v>
      </c>
      <c r="D62" t="str">
        <f>VLOOKUP(B62,表单1!$A$1:$E$59,5,FALSE)</f>
        <v>风化</v>
      </c>
      <c r="E62">
        <v>63.66</v>
      </c>
      <c r="F62">
        <v>3.04</v>
      </c>
      <c r="G62">
        <v>0.11</v>
      </c>
      <c r="H62">
        <v>0.78</v>
      </c>
      <c r="I62">
        <v>1.14</v>
      </c>
      <c r="J62">
        <v>6.06</v>
      </c>
      <c r="K62">
        <v>0.01</v>
      </c>
      <c r="L62">
        <v>0.54</v>
      </c>
      <c r="M62">
        <v>13.66</v>
      </c>
      <c r="N62">
        <v>8.99</v>
      </c>
      <c r="O62">
        <v>0.01</v>
      </c>
      <c r="P62">
        <v>0.27</v>
      </c>
      <c r="Q62">
        <v>0.01</v>
      </c>
      <c r="R62">
        <v>0.01</v>
      </c>
    </row>
    <row r="63" spans="1:18">
      <c r="A63" t="s">
        <v>72</v>
      </c>
      <c r="B63" s="1" t="str">
        <f>LEFT(A63,2)</f>
        <v>54</v>
      </c>
      <c r="C63" t="str">
        <f>VLOOKUP(B63,表单1!$A$1:$E$59,3,FALSE)</f>
        <v>铅钡</v>
      </c>
      <c r="D63" t="str">
        <f>VLOOKUP(B63,表单1!$A$1:$E$59,5,FALSE)</f>
        <v>风化</v>
      </c>
      <c r="E63">
        <v>22.28</v>
      </c>
      <c r="F63">
        <v>0.01</v>
      </c>
      <c r="G63">
        <v>0.32</v>
      </c>
      <c r="H63">
        <v>3.19</v>
      </c>
      <c r="I63">
        <v>1.28</v>
      </c>
      <c r="J63">
        <v>4.15</v>
      </c>
      <c r="K63">
        <v>0.01</v>
      </c>
      <c r="L63">
        <v>0.83</v>
      </c>
      <c r="M63">
        <v>55.46</v>
      </c>
      <c r="N63">
        <v>7.04</v>
      </c>
      <c r="O63">
        <v>4.24</v>
      </c>
      <c r="P63">
        <v>0.88</v>
      </c>
      <c r="Q63">
        <v>0.01</v>
      </c>
      <c r="R63">
        <v>0.01</v>
      </c>
    </row>
    <row r="64" spans="1:18">
      <c r="A64" t="s">
        <v>115</v>
      </c>
      <c r="B64" s="1" t="str">
        <f>LEFT(A64,2)</f>
        <v>54</v>
      </c>
      <c r="C64" t="str">
        <f>VLOOKUP(B64,表单1!$A$1:$E$59,3,FALSE)</f>
        <v>铅钡</v>
      </c>
      <c r="D64" t="str">
        <f>VLOOKUP(B64,表单1!$A$1:$E$59,5,FALSE)</f>
        <v>风化</v>
      </c>
      <c r="E64">
        <v>17.11</v>
      </c>
      <c r="F64">
        <v>0.01</v>
      </c>
      <c r="G64">
        <v>0.01</v>
      </c>
      <c r="H64">
        <v>0.01</v>
      </c>
      <c r="I64">
        <v>1.11</v>
      </c>
      <c r="J64">
        <v>3.65</v>
      </c>
      <c r="K64">
        <v>0.01</v>
      </c>
      <c r="L64">
        <v>1.34</v>
      </c>
      <c r="M64">
        <v>58.46</v>
      </c>
      <c r="N64">
        <v>0.01</v>
      </c>
      <c r="O64">
        <v>14.13</v>
      </c>
      <c r="P64">
        <v>1.12</v>
      </c>
      <c r="Q64">
        <v>0.01</v>
      </c>
      <c r="R64">
        <v>0.01</v>
      </c>
    </row>
    <row r="65" spans="1:18">
      <c r="A65" t="s">
        <v>73</v>
      </c>
      <c r="B65" s="1" t="str">
        <f>LEFT(A65,2)</f>
        <v>55</v>
      </c>
      <c r="C65" t="str">
        <f>VLOOKUP(B65,表单1!$A$1:$E$59,3,FALSE)</f>
        <v>铅钡</v>
      </c>
      <c r="D65" t="str">
        <f>VLOOKUP(B65,表单1!$A$1:$E$59,5,FALSE)</f>
        <v>无风化</v>
      </c>
      <c r="E65">
        <v>49.01</v>
      </c>
      <c r="F65">
        <v>2.71</v>
      </c>
      <c r="G65">
        <v>0.01</v>
      </c>
      <c r="H65">
        <v>1.13</v>
      </c>
      <c r="I65">
        <v>0.01</v>
      </c>
      <c r="J65">
        <v>1.45</v>
      </c>
      <c r="K65">
        <v>0.01</v>
      </c>
      <c r="L65">
        <v>0.86</v>
      </c>
      <c r="M65">
        <v>32.92</v>
      </c>
      <c r="N65">
        <v>7.95</v>
      </c>
      <c r="O65">
        <v>0.35</v>
      </c>
      <c r="P65">
        <v>0.01</v>
      </c>
      <c r="Q65">
        <v>0.01</v>
      </c>
      <c r="R65">
        <v>0.01</v>
      </c>
    </row>
    <row r="66" spans="1:18">
      <c r="A66" t="s">
        <v>75</v>
      </c>
      <c r="B66" s="1" t="str">
        <f>LEFT(A66,2)</f>
        <v>56</v>
      </c>
      <c r="C66" t="str">
        <f>VLOOKUP(B66,表单1!$A$1:$E$59,3,FALSE)</f>
        <v>铅钡</v>
      </c>
      <c r="D66" t="str">
        <f>VLOOKUP(B66,表单1!$A$1:$E$59,5,FALSE)</f>
        <v>风化</v>
      </c>
      <c r="E66">
        <v>29.15</v>
      </c>
      <c r="F66">
        <v>0.01</v>
      </c>
      <c r="G66">
        <v>0.01</v>
      </c>
      <c r="H66">
        <v>1.21</v>
      </c>
      <c r="I66">
        <v>0.01</v>
      </c>
      <c r="J66">
        <v>1.85</v>
      </c>
      <c r="K66">
        <v>0.01</v>
      </c>
      <c r="L66">
        <v>0.79</v>
      </c>
      <c r="M66">
        <v>41.25</v>
      </c>
      <c r="N66">
        <v>15.45</v>
      </c>
      <c r="O66">
        <v>2.54</v>
      </c>
      <c r="P66">
        <v>0.01</v>
      </c>
      <c r="Q66">
        <v>0.01</v>
      </c>
      <c r="R66">
        <v>0.01</v>
      </c>
    </row>
    <row r="67" spans="1:18">
      <c r="A67" t="s">
        <v>76</v>
      </c>
      <c r="B67" s="1" t="str">
        <f>LEFT(A67,2)</f>
        <v>57</v>
      </c>
      <c r="C67" t="str">
        <f>VLOOKUP(B67,表单1!$A$1:$E$59,3,FALSE)</f>
        <v>铅钡</v>
      </c>
      <c r="D67" t="str">
        <f>VLOOKUP(B67,表单1!$A$1:$E$59,5,FALSE)</f>
        <v>风化</v>
      </c>
      <c r="E67">
        <v>25.42</v>
      </c>
      <c r="F67">
        <v>0.01</v>
      </c>
      <c r="G67">
        <v>0.01</v>
      </c>
      <c r="H67">
        <v>1.31</v>
      </c>
      <c r="I67">
        <v>0.01</v>
      </c>
      <c r="J67">
        <v>2.18</v>
      </c>
      <c r="K67">
        <v>0.01</v>
      </c>
      <c r="L67">
        <v>1.16</v>
      </c>
      <c r="M67">
        <v>45.1</v>
      </c>
      <c r="N67">
        <v>17.3</v>
      </c>
      <c r="O67">
        <v>0.01</v>
      </c>
      <c r="P67">
        <v>0.01</v>
      </c>
      <c r="Q67">
        <v>0.01</v>
      </c>
      <c r="R67">
        <v>0.01</v>
      </c>
    </row>
    <row r="68" spans="1:18">
      <c r="A68" t="s">
        <v>77</v>
      </c>
      <c r="B68" s="1" t="str">
        <f>LEFT(A68,2)</f>
        <v>58</v>
      </c>
      <c r="C68" t="str">
        <f>VLOOKUP(B68,表单1!$A$1:$E$59,3,FALSE)</f>
        <v>铅钡</v>
      </c>
      <c r="D68" t="str">
        <f>VLOOKUP(B68,表单1!$A$1:$E$59,5,FALSE)</f>
        <v>风化</v>
      </c>
      <c r="E68">
        <v>30.39</v>
      </c>
      <c r="F68">
        <v>0.01</v>
      </c>
      <c r="G68">
        <v>0.34</v>
      </c>
      <c r="H68">
        <v>3.49</v>
      </c>
      <c r="I68">
        <v>0.79</v>
      </c>
      <c r="J68">
        <v>3.52</v>
      </c>
      <c r="K68">
        <v>0.86</v>
      </c>
      <c r="L68">
        <v>3.13</v>
      </c>
      <c r="M68">
        <v>39.35</v>
      </c>
      <c r="N68">
        <v>7.66</v>
      </c>
      <c r="O68">
        <v>8.99</v>
      </c>
      <c r="P68">
        <v>0.24</v>
      </c>
      <c r="Q68">
        <v>0.01</v>
      </c>
      <c r="R68">
        <v>0.01</v>
      </c>
    </row>
  </sheetData>
  <sortState ref="A2:R68">
    <sortCondition ref="A2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6"/>
  <sheetViews>
    <sheetView workbookViewId="0">
      <selection activeCell="U17" sqref="U17"/>
    </sheetView>
  </sheetViews>
  <sheetFormatPr defaultColWidth="9" defaultRowHeight="14"/>
  <cols>
    <col min="1" max="1" width="14.6363636363636" customWidth="1"/>
    <col min="2" max="2" width="13.1818181818182" style="1" customWidth="1"/>
    <col min="3" max="3" width="11.2727272727273" customWidth="1"/>
    <col min="4" max="4" width="17" customWidth="1"/>
  </cols>
  <sheetData>
    <row r="1" spans="1:18">
      <c r="A1" s="2" t="s">
        <v>78</v>
      </c>
      <c r="B1" s="3" t="s">
        <v>0</v>
      </c>
      <c r="C1" s="2" t="s">
        <v>2</v>
      </c>
      <c r="D1" s="2" t="s">
        <v>4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  <c r="M1" s="2" t="s">
        <v>87</v>
      </c>
      <c r="N1" s="2" t="s">
        <v>88</v>
      </c>
      <c r="O1" s="2" t="s">
        <v>89</v>
      </c>
      <c r="P1" s="2" t="s">
        <v>90</v>
      </c>
      <c r="Q1" s="2" t="s">
        <v>91</v>
      </c>
      <c r="R1" s="2" t="s">
        <v>92</v>
      </c>
    </row>
    <row r="2" spans="1:18">
      <c r="A2" t="s">
        <v>5</v>
      </c>
      <c r="B2" s="1" t="str">
        <f t="shared" ref="B2:B33" si="0">LEFT(A2,2)</f>
        <v>01</v>
      </c>
      <c r="C2" t="str">
        <f>VLOOKUP(B2,表单1!$A$1:$E$59,3,FALSE)</f>
        <v>高钾</v>
      </c>
      <c r="D2" t="str">
        <f>VLOOKUP(B2,表单1!$A$1:$E$59,5,FALSE)</f>
        <v>无风化</v>
      </c>
      <c r="E2">
        <v>69.33</v>
      </c>
      <c r="F2">
        <v>0.01</v>
      </c>
      <c r="G2">
        <v>9.99</v>
      </c>
      <c r="H2">
        <v>6.32</v>
      </c>
      <c r="I2">
        <v>0.87</v>
      </c>
      <c r="J2">
        <v>3.93</v>
      </c>
      <c r="K2">
        <v>1.74</v>
      </c>
      <c r="L2">
        <v>3.87</v>
      </c>
      <c r="M2">
        <v>0.01</v>
      </c>
      <c r="N2">
        <v>0.01</v>
      </c>
      <c r="O2">
        <v>1.17</v>
      </c>
      <c r="P2">
        <v>0.01</v>
      </c>
      <c r="Q2">
        <v>0.01</v>
      </c>
      <c r="R2">
        <v>0.39</v>
      </c>
    </row>
    <row r="3" spans="1:18">
      <c r="A3" t="s">
        <v>93</v>
      </c>
      <c r="B3" s="1" t="str">
        <f t="shared" si="0"/>
        <v>03</v>
      </c>
      <c r="C3" t="str">
        <f>VLOOKUP(B3,表单1!$A$1:$E$59,3,FALSE)</f>
        <v>高钾</v>
      </c>
      <c r="D3" t="str">
        <f>VLOOKUP(B3,表单1!$A$1:$E$59,5,FALSE)</f>
        <v>无风化</v>
      </c>
      <c r="E3">
        <v>87.05</v>
      </c>
      <c r="F3">
        <v>0.01</v>
      </c>
      <c r="G3">
        <v>5.19</v>
      </c>
      <c r="H3">
        <v>2.01</v>
      </c>
      <c r="I3">
        <v>0.01</v>
      </c>
      <c r="J3">
        <v>4.06</v>
      </c>
      <c r="K3">
        <v>0.01</v>
      </c>
      <c r="L3">
        <v>0.78</v>
      </c>
      <c r="M3">
        <v>0.25</v>
      </c>
      <c r="N3">
        <v>0.01</v>
      </c>
      <c r="O3">
        <v>0.66</v>
      </c>
      <c r="P3">
        <v>0.01</v>
      </c>
      <c r="Q3">
        <v>0.01</v>
      </c>
      <c r="R3">
        <v>0.01</v>
      </c>
    </row>
    <row r="4" spans="1:18">
      <c r="A4" t="s">
        <v>94</v>
      </c>
      <c r="B4" s="1" t="str">
        <f t="shared" si="0"/>
        <v>03</v>
      </c>
      <c r="C4" t="str">
        <f>VLOOKUP(B4,表单1!$A$1:$E$59,3,FALSE)</f>
        <v>高钾</v>
      </c>
      <c r="D4" t="str">
        <f>VLOOKUP(B4,表单1!$A$1:$E$59,5,FALSE)</f>
        <v>无风化</v>
      </c>
      <c r="E4">
        <v>61.71</v>
      </c>
      <c r="F4">
        <v>0.01</v>
      </c>
      <c r="G4">
        <v>12.37</v>
      </c>
      <c r="H4">
        <v>5.87</v>
      </c>
      <c r="I4">
        <v>1.11</v>
      </c>
      <c r="J4">
        <v>5.5</v>
      </c>
      <c r="K4">
        <v>2.16</v>
      </c>
      <c r="L4">
        <v>5.09</v>
      </c>
      <c r="M4">
        <v>1.41</v>
      </c>
      <c r="N4">
        <v>2.86</v>
      </c>
      <c r="O4">
        <v>0.7</v>
      </c>
      <c r="P4">
        <v>0.1</v>
      </c>
      <c r="Q4">
        <v>0.01</v>
      </c>
      <c r="R4">
        <v>0.01</v>
      </c>
    </row>
    <row r="5" spans="1:18">
      <c r="A5" t="s">
        <v>16</v>
      </c>
      <c r="B5" s="1" t="str">
        <f t="shared" si="0"/>
        <v>04</v>
      </c>
      <c r="C5" t="str">
        <f>VLOOKUP(B5,表单1!$A$1:$E$59,3,FALSE)</f>
        <v>高钾</v>
      </c>
      <c r="D5" t="str">
        <f>VLOOKUP(B5,表单1!$A$1:$E$59,5,FALSE)</f>
        <v>无风化</v>
      </c>
      <c r="E5">
        <v>65.88</v>
      </c>
      <c r="F5">
        <v>0.01</v>
      </c>
      <c r="G5">
        <v>9.67</v>
      </c>
      <c r="H5">
        <v>7.12</v>
      </c>
      <c r="I5">
        <v>1.56</v>
      </c>
      <c r="J5">
        <v>6.44</v>
      </c>
      <c r="K5">
        <v>2.06</v>
      </c>
      <c r="L5">
        <v>2.18</v>
      </c>
      <c r="M5">
        <v>0.01</v>
      </c>
      <c r="N5">
        <v>0.01</v>
      </c>
      <c r="O5">
        <v>0.79</v>
      </c>
      <c r="P5">
        <v>0.01</v>
      </c>
      <c r="Q5">
        <v>0.01</v>
      </c>
      <c r="R5">
        <v>0.36</v>
      </c>
    </row>
    <row r="6" spans="1:18">
      <c r="A6" t="s">
        <v>17</v>
      </c>
      <c r="B6" s="1" t="str">
        <f t="shared" si="0"/>
        <v>05</v>
      </c>
      <c r="C6" t="str">
        <f>VLOOKUP(B6,表单1!$A$1:$E$59,3,FALSE)</f>
        <v>高钾</v>
      </c>
      <c r="D6" t="str">
        <f>VLOOKUP(B6,表单1!$A$1:$E$59,5,FALSE)</f>
        <v>无风化</v>
      </c>
      <c r="E6">
        <v>61.58</v>
      </c>
      <c r="F6">
        <v>0.01</v>
      </c>
      <c r="G6">
        <v>10.95</v>
      </c>
      <c r="H6">
        <v>7.35</v>
      </c>
      <c r="I6">
        <v>1.77</v>
      </c>
      <c r="J6">
        <v>7.5</v>
      </c>
      <c r="K6">
        <v>2.62</v>
      </c>
      <c r="L6">
        <v>3.27</v>
      </c>
      <c r="M6">
        <v>0.01</v>
      </c>
      <c r="N6">
        <v>0.01</v>
      </c>
      <c r="O6">
        <v>0.94</v>
      </c>
      <c r="P6">
        <v>0.06</v>
      </c>
      <c r="Q6">
        <v>0.01</v>
      </c>
      <c r="R6">
        <v>0.47</v>
      </c>
    </row>
    <row r="7" spans="1:18">
      <c r="A7" t="s">
        <v>95</v>
      </c>
      <c r="B7" s="1" t="str">
        <f t="shared" si="0"/>
        <v>06</v>
      </c>
      <c r="C7" t="str">
        <f>VLOOKUP(B7,表单1!$A$1:$E$59,3,FALSE)</f>
        <v>高钾</v>
      </c>
      <c r="D7" t="str">
        <f>VLOOKUP(B7,表单1!$A$1:$E$59,5,FALSE)</f>
        <v>无风化</v>
      </c>
      <c r="E7">
        <v>67.65</v>
      </c>
      <c r="F7">
        <v>0.01</v>
      </c>
      <c r="G7">
        <v>7.37</v>
      </c>
      <c r="H7">
        <v>0.01</v>
      </c>
      <c r="I7">
        <v>1.98</v>
      </c>
      <c r="J7">
        <v>11.15</v>
      </c>
      <c r="K7">
        <v>2.39</v>
      </c>
      <c r="L7">
        <v>2.51</v>
      </c>
      <c r="M7">
        <v>0.2</v>
      </c>
      <c r="N7">
        <v>1.38</v>
      </c>
      <c r="O7">
        <v>4.18</v>
      </c>
      <c r="P7">
        <v>0.11</v>
      </c>
      <c r="Q7">
        <v>0.01</v>
      </c>
      <c r="R7">
        <v>0.01</v>
      </c>
    </row>
    <row r="8" spans="1:18">
      <c r="A8" t="s">
        <v>96</v>
      </c>
      <c r="B8" s="1" t="str">
        <f t="shared" si="0"/>
        <v>06</v>
      </c>
      <c r="C8" t="str">
        <f>VLOOKUP(B8,表单1!$A$1:$E$59,3,FALSE)</f>
        <v>高钾</v>
      </c>
      <c r="D8" t="str">
        <f>VLOOKUP(B8,表单1!$A$1:$E$59,5,FALSE)</f>
        <v>无风化</v>
      </c>
      <c r="E8">
        <v>59.81</v>
      </c>
      <c r="F8">
        <v>0.01</v>
      </c>
      <c r="G8">
        <v>7.68</v>
      </c>
      <c r="H8">
        <v>5.41</v>
      </c>
      <c r="I8">
        <v>1.73</v>
      </c>
      <c r="J8">
        <v>10.05</v>
      </c>
      <c r="K8">
        <v>6.04</v>
      </c>
      <c r="L8">
        <v>2.18</v>
      </c>
      <c r="M8">
        <v>0.35</v>
      </c>
      <c r="N8">
        <v>0.97</v>
      </c>
      <c r="O8">
        <v>4.5</v>
      </c>
      <c r="P8">
        <v>0.12</v>
      </c>
      <c r="Q8">
        <v>0.01</v>
      </c>
      <c r="R8">
        <v>0.01</v>
      </c>
    </row>
    <row r="9" spans="1:18">
      <c r="A9" t="s">
        <v>27</v>
      </c>
      <c r="B9" s="1" t="str">
        <f t="shared" si="0"/>
        <v>13</v>
      </c>
      <c r="C9" t="str">
        <f>VLOOKUP(B9,表单1!$A$1:$E$59,3,FALSE)</f>
        <v>高钾</v>
      </c>
      <c r="D9" t="str">
        <f>VLOOKUP(B9,表单1!$A$1:$E$59,5,FALSE)</f>
        <v>无风化</v>
      </c>
      <c r="E9">
        <v>59.01</v>
      </c>
      <c r="F9">
        <v>2.86</v>
      </c>
      <c r="G9">
        <v>12.53</v>
      </c>
      <c r="H9">
        <v>8.7</v>
      </c>
      <c r="I9">
        <v>0.01</v>
      </c>
      <c r="J9">
        <v>6.16</v>
      </c>
      <c r="K9">
        <v>2.88</v>
      </c>
      <c r="L9">
        <v>4.73</v>
      </c>
      <c r="M9">
        <v>0.01</v>
      </c>
      <c r="N9">
        <v>0.01</v>
      </c>
      <c r="O9">
        <v>1.27</v>
      </c>
      <c r="P9">
        <v>0.01</v>
      </c>
      <c r="Q9">
        <v>0.01</v>
      </c>
      <c r="R9">
        <v>0.01</v>
      </c>
    </row>
    <row r="10" spans="1:18">
      <c r="A10" t="s">
        <v>28</v>
      </c>
      <c r="B10" s="1" t="str">
        <f t="shared" si="0"/>
        <v>14</v>
      </c>
      <c r="C10" t="str">
        <f>VLOOKUP(B10,表单1!$A$1:$E$59,3,FALSE)</f>
        <v>高钾</v>
      </c>
      <c r="D10" t="str">
        <f>VLOOKUP(B10,表单1!$A$1:$E$59,5,FALSE)</f>
        <v>无风化</v>
      </c>
      <c r="E10">
        <v>62.47</v>
      </c>
      <c r="F10">
        <v>3.38</v>
      </c>
      <c r="G10">
        <v>12.28</v>
      </c>
      <c r="H10">
        <v>8.23</v>
      </c>
      <c r="I10">
        <v>0.66</v>
      </c>
      <c r="J10">
        <v>9.23</v>
      </c>
      <c r="K10">
        <v>0.5</v>
      </c>
      <c r="L10">
        <v>0.47</v>
      </c>
      <c r="M10">
        <v>1.62</v>
      </c>
      <c r="N10">
        <v>0.01</v>
      </c>
      <c r="O10">
        <v>0.16</v>
      </c>
      <c r="P10">
        <v>0.01</v>
      </c>
      <c r="Q10">
        <v>0.01</v>
      </c>
      <c r="R10">
        <v>0.01</v>
      </c>
    </row>
    <row r="11" spans="1:18">
      <c r="A11" t="s">
        <v>31</v>
      </c>
      <c r="B11" s="1" t="str">
        <f t="shared" si="0"/>
        <v>16</v>
      </c>
      <c r="C11" t="str">
        <f>VLOOKUP(B11,表单1!$A$1:$E$59,3,FALSE)</f>
        <v>高钾</v>
      </c>
      <c r="D11" t="str">
        <f>VLOOKUP(B11,表单1!$A$1:$E$59,5,FALSE)</f>
        <v>无风化</v>
      </c>
      <c r="E11">
        <v>65.18</v>
      </c>
      <c r="F11">
        <v>2.1</v>
      </c>
      <c r="G11">
        <v>14.52</v>
      </c>
      <c r="H11">
        <v>8.27</v>
      </c>
      <c r="I11">
        <v>0.52</v>
      </c>
      <c r="J11">
        <v>6.18</v>
      </c>
      <c r="K11">
        <v>0.42</v>
      </c>
      <c r="L11">
        <v>1.07</v>
      </c>
      <c r="M11">
        <v>0.11</v>
      </c>
      <c r="N11">
        <v>0</v>
      </c>
      <c r="O11">
        <v>0.01</v>
      </c>
      <c r="P11">
        <v>0.04</v>
      </c>
      <c r="Q11">
        <v>0.01</v>
      </c>
      <c r="R11">
        <v>0.01</v>
      </c>
    </row>
    <row r="12" spans="1:18">
      <c r="A12" t="s">
        <v>33</v>
      </c>
      <c r="B12" s="1" t="str">
        <f t="shared" si="0"/>
        <v>18</v>
      </c>
      <c r="C12" t="str">
        <f>VLOOKUP(B12,表单1!$A$1:$E$59,3,FALSE)</f>
        <v>高钾</v>
      </c>
      <c r="D12" t="str">
        <f>VLOOKUP(B12,表单1!$A$1:$E$59,5,FALSE)</f>
        <v>无风化</v>
      </c>
      <c r="E12">
        <v>79.46</v>
      </c>
      <c r="F12">
        <v>0.01</v>
      </c>
      <c r="G12">
        <v>9.42</v>
      </c>
      <c r="H12">
        <v>0.01</v>
      </c>
      <c r="I12">
        <v>1.53</v>
      </c>
      <c r="J12">
        <v>3.05</v>
      </c>
      <c r="K12">
        <v>0.01</v>
      </c>
      <c r="L12">
        <v>0.01</v>
      </c>
      <c r="M12">
        <v>0.01</v>
      </c>
      <c r="N12">
        <v>0.01</v>
      </c>
      <c r="O12">
        <v>1.36</v>
      </c>
      <c r="P12">
        <v>0.07</v>
      </c>
      <c r="Q12">
        <v>2.36</v>
      </c>
      <c r="R12">
        <v>0.01</v>
      </c>
    </row>
    <row r="13" spans="1:18">
      <c r="A13" t="s">
        <v>37</v>
      </c>
      <c r="B13" s="1" t="str">
        <f t="shared" si="0"/>
        <v>21</v>
      </c>
      <c r="C13" t="str">
        <f>VLOOKUP(B13,表单1!$A$1:$E$59,3,FALSE)</f>
        <v>高钾</v>
      </c>
      <c r="D13" t="str">
        <f>VLOOKUP(B13,表单1!$A$1:$E$59,5,FALSE)</f>
        <v>无风化</v>
      </c>
      <c r="E13">
        <v>76.68</v>
      </c>
      <c r="F13">
        <v>0.01</v>
      </c>
      <c r="G13">
        <v>0.01</v>
      </c>
      <c r="H13">
        <v>4.71</v>
      </c>
      <c r="I13">
        <v>1.22</v>
      </c>
      <c r="J13">
        <v>6.19</v>
      </c>
      <c r="K13">
        <v>2.37</v>
      </c>
      <c r="L13">
        <v>3.28</v>
      </c>
      <c r="M13">
        <v>1</v>
      </c>
      <c r="N13">
        <v>1.97</v>
      </c>
      <c r="O13">
        <v>1.1</v>
      </c>
      <c r="P13">
        <v>0.01</v>
      </c>
      <c r="Q13">
        <v>0.01</v>
      </c>
      <c r="R13">
        <v>0.01</v>
      </c>
    </row>
    <row r="14" spans="1:18">
      <c r="A14" t="s">
        <v>98</v>
      </c>
      <c r="B14" s="1" t="str">
        <f t="shared" si="0"/>
        <v>23</v>
      </c>
      <c r="C14" t="str">
        <f>VLOOKUP(B14,表单1!$A$1:$E$59,3,FALSE)</f>
        <v>铅钡</v>
      </c>
      <c r="D14" t="str">
        <f>VLOOKUP(B14,表单1!$A$1:$E$59,5,FALSE)</f>
        <v>风化</v>
      </c>
      <c r="E14">
        <v>53.79</v>
      </c>
      <c r="F14">
        <v>7.92</v>
      </c>
      <c r="G14">
        <v>0.01</v>
      </c>
      <c r="H14">
        <v>0.5</v>
      </c>
      <c r="I14">
        <v>0.71</v>
      </c>
      <c r="J14">
        <v>1.42</v>
      </c>
      <c r="K14">
        <v>0.01</v>
      </c>
      <c r="L14">
        <v>2.99</v>
      </c>
      <c r="M14">
        <v>16.98</v>
      </c>
      <c r="N14">
        <v>11.86</v>
      </c>
      <c r="O14">
        <v>0.01</v>
      </c>
      <c r="P14">
        <v>0.33</v>
      </c>
      <c r="Q14">
        <v>0.01</v>
      </c>
      <c r="R14">
        <v>0.01</v>
      </c>
    </row>
    <row r="15" spans="1:18">
      <c r="A15" t="s">
        <v>99</v>
      </c>
      <c r="B15" s="1" t="str">
        <f t="shared" si="0"/>
        <v>25</v>
      </c>
      <c r="C15" t="str">
        <f>VLOOKUP(B15,表单1!$A$1:$E$59,3,FALSE)</f>
        <v>铅钡</v>
      </c>
      <c r="D15" t="str">
        <f>VLOOKUP(B15,表单1!$A$1:$E$59,5,FALSE)</f>
        <v>风化</v>
      </c>
      <c r="E15">
        <v>50.61</v>
      </c>
      <c r="F15">
        <v>2.31</v>
      </c>
      <c r="G15">
        <v>0.01</v>
      </c>
      <c r="H15">
        <v>0.63</v>
      </c>
      <c r="I15">
        <v>0.01</v>
      </c>
      <c r="J15">
        <v>1.9</v>
      </c>
      <c r="K15">
        <v>1.55</v>
      </c>
      <c r="L15">
        <v>1.12</v>
      </c>
      <c r="M15">
        <v>31.9</v>
      </c>
      <c r="N15">
        <v>6.65</v>
      </c>
      <c r="O15">
        <v>0.19</v>
      </c>
      <c r="P15">
        <v>0.2</v>
      </c>
      <c r="Q15">
        <v>0.01</v>
      </c>
      <c r="R15">
        <v>0.01</v>
      </c>
    </row>
    <row r="16" spans="1:18">
      <c r="A16" t="s">
        <v>101</v>
      </c>
      <c r="B16" s="1" t="str">
        <f t="shared" si="0"/>
        <v>28</v>
      </c>
      <c r="C16" t="str">
        <f>VLOOKUP(B16,表单1!$A$1:$E$59,3,FALSE)</f>
        <v>铅钡</v>
      </c>
      <c r="D16" t="str">
        <f>VLOOKUP(B16,表单1!$A$1:$E$59,5,FALSE)</f>
        <v>风化</v>
      </c>
      <c r="E16">
        <v>68.08</v>
      </c>
      <c r="F16">
        <v>0.01</v>
      </c>
      <c r="G16">
        <v>0.26</v>
      </c>
      <c r="H16">
        <v>1.34</v>
      </c>
      <c r="I16">
        <v>1</v>
      </c>
      <c r="J16">
        <v>4.7</v>
      </c>
      <c r="K16">
        <v>0.41</v>
      </c>
      <c r="L16">
        <v>0.33</v>
      </c>
      <c r="M16">
        <v>17.14</v>
      </c>
      <c r="N16">
        <v>4.04</v>
      </c>
      <c r="O16">
        <v>1.04</v>
      </c>
      <c r="P16">
        <v>0.12</v>
      </c>
      <c r="Q16">
        <v>0.23</v>
      </c>
      <c r="R16">
        <v>0.01</v>
      </c>
    </row>
    <row r="17" spans="1:18">
      <c r="A17" t="s">
        <v>102</v>
      </c>
      <c r="B17" s="1" t="str">
        <f t="shared" si="0"/>
        <v>29</v>
      </c>
      <c r="C17" t="str">
        <f>VLOOKUP(B17,表单1!$A$1:$E$59,3,FALSE)</f>
        <v>铅钡</v>
      </c>
      <c r="D17" t="str">
        <f>VLOOKUP(B17,表单1!$A$1:$E$59,5,FALSE)</f>
        <v>风化</v>
      </c>
      <c r="E17">
        <v>63.3</v>
      </c>
      <c r="F17">
        <v>0.92</v>
      </c>
      <c r="G17">
        <v>0.3</v>
      </c>
      <c r="H17">
        <v>2.98</v>
      </c>
      <c r="I17">
        <v>1.49</v>
      </c>
      <c r="J17">
        <v>14.34</v>
      </c>
      <c r="K17">
        <v>0.81</v>
      </c>
      <c r="L17">
        <v>0.74</v>
      </c>
      <c r="M17">
        <v>12.31</v>
      </c>
      <c r="N17">
        <v>2.03</v>
      </c>
      <c r="O17">
        <v>0.41</v>
      </c>
      <c r="P17">
        <v>0.25</v>
      </c>
      <c r="Q17">
        <v>0.01</v>
      </c>
      <c r="R17">
        <v>0.01</v>
      </c>
    </row>
    <row r="18" spans="1:18">
      <c r="A18" t="s">
        <v>105</v>
      </c>
      <c r="B18" s="1" t="str">
        <f t="shared" si="0"/>
        <v>42</v>
      </c>
      <c r="C18" t="str">
        <f>VLOOKUP(B18,表单1!$A$1:$E$59,3,FALSE)</f>
        <v>铅钡</v>
      </c>
      <c r="D18" t="str">
        <f>VLOOKUP(B18,表单1!$A$1:$E$59,5,FALSE)</f>
        <v>风化</v>
      </c>
      <c r="E18">
        <v>51.26</v>
      </c>
      <c r="F18">
        <v>5.74</v>
      </c>
      <c r="G18">
        <v>0.15</v>
      </c>
      <c r="H18">
        <v>0.79</v>
      </c>
      <c r="I18">
        <v>1.09</v>
      </c>
      <c r="J18">
        <v>3.53</v>
      </c>
      <c r="K18">
        <v>0.01</v>
      </c>
      <c r="L18">
        <v>2.67</v>
      </c>
      <c r="M18">
        <v>21.88</v>
      </c>
      <c r="N18">
        <v>10.47</v>
      </c>
      <c r="O18">
        <v>0.08</v>
      </c>
      <c r="P18">
        <v>0.35</v>
      </c>
      <c r="Q18">
        <v>0.01</v>
      </c>
      <c r="R18">
        <v>0.01</v>
      </c>
    </row>
    <row r="19" spans="1:18">
      <c r="A19" t="s">
        <v>106</v>
      </c>
      <c r="B19" s="1" t="str">
        <f t="shared" si="0"/>
        <v>42</v>
      </c>
      <c r="C19" t="str">
        <f>VLOOKUP(B19,表单1!$A$1:$E$59,3,FALSE)</f>
        <v>铅钡</v>
      </c>
      <c r="D19" t="str">
        <f>VLOOKUP(B19,表单1!$A$1:$E$59,5,FALSE)</f>
        <v>风化</v>
      </c>
      <c r="E19">
        <v>51.33</v>
      </c>
      <c r="F19">
        <v>5.68</v>
      </c>
      <c r="G19">
        <v>0.35</v>
      </c>
      <c r="H19">
        <v>0.01</v>
      </c>
      <c r="I19">
        <v>1.16</v>
      </c>
      <c r="J19">
        <v>5.66</v>
      </c>
      <c r="K19">
        <v>0.01</v>
      </c>
      <c r="L19">
        <v>2.72</v>
      </c>
      <c r="M19">
        <v>20.12</v>
      </c>
      <c r="N19">
        <v>10.88</v>
      </c>
      <c r="O19">
        <v>0.01</v>
      </c>
      <c r="P19">
        <v>0.01</v>
      </c>
      <c r="Q19">
        <v>0.01</v>
      </c>
      <c r="R19">
        <v>0.01</v>
      </c>
    </row>
    <row r="20" spans="1:18">
      <c r="A20" t="s">
        <v>109</v>
      </c>
      <c r="B20" s="1" t="str">
        <f t="shared" si="0"/>
        <v>44</v>
      </c>
      <c r="C20" t="str">
        <f>VLOOKUP(B20,表单1!$A$1:$E$59,3,FALSE)</f>
        <v>铅钡</v>
      </c>
      <c r="D20" t="str">
        <f>VLOOKUP(B20,表单1!$A$1:$E$59,5,FALSE)</f>
        <v>风化</v>
      </c>
      <c r="E20">
        <v>60.74</v>
      </c>
      <c r="F20">
        <v>3.06</v>
      </c>
      <c r="G20">
        <v>0.2</v>
      </c>
      <c r="H20">
        <v>2.14</v>
      </c>
      <c r="I20">
        <v>0.01</v>
      </c>
      <c r="J20">
        <v>12.69</v>
      </c>
      <c r="K20">
        <v>0.77</v>
      </c>
      <c r="L20">
        <v>0.43</v>
      </c>
      <c r="M20">
        <v>13.61</v>
      </c>
      <c r="N20">
        <v>5.22</v>
      </c>
      <c r="O20">
        <v>0.01</v>
      </c>
      <c r="P20">
        <v>0.26</v>
      </c>
      <c r="Q20">
        <v>0.01</v>
      </c>
      <c r="R20">
        <v>0.01</v>
      </c>
    </row>
    <row r="21" spans="1:18">
      <c r="A21" t="s">
        <v>110</v>
      </c>
      <c r="B21" s="1" t="str">
        <f t="shared" si="0"/>
        <v>49</v>
      </c>
      <c r="C21" t="str">
        <f>VLOOKUP(B21,表单1!$A$1:$E$59,3,FALSE)</f>
        <v>铅钡</v>
      </c>
      <c r="D21" t="str">
        <f>VLOOKUP(B21,表单1!$A$1:$E$59,5,FALSE)</f>
        <v>风化</v>
      </c>
      <c r="E21">
        <v>54.61</v>
      </c>
      <c r="F21">
        <v>0.01</v>
      </c>
      <c r="G21">
        <v>0.3</v>
      </c>
      <c r="H21">
        <v>2.08</v>
      </c>
      <c r="I21">
        <v>1.2</v>
      </c>
      <c r="J21">
        <v>6.5</v>
      </c>
      <c r="K21">
        <v>1.27</v>
      </c>
      <c r="L21">
        <v>0.45</v>
      </c>
      <c r="M21">
        <v>23.02</v>
      </c>
      <c r="N21">
        <v>4.19</v>
      </c>
      <c r="O21">
        <v>4.32</v>
      </c>
      <c r="P21">
        <v>0.3</v>
      </c>
      <c r="Q21">
        <v>0.01</v>
      </c>
      <c r="R21">
        <v>0.01</v>
      </c>
    </row>
    <row r="22" spans="1:18">
      <c r="A22" t="s">
        <v>111</v>
      </c>
      <c r="B22" s="1" t="str">
        <f t="shared" si="0"/>
        <v>50</v>
      </c>
      <c r="C22" t="str">
        <f>VLOOKUP(B22,表单1!$A$1:$E$59,3,FALSE)</f>
        <v>铅钡</v>
      </c>
      <c r="D22" t="str">
        <f>VLOOKUP(B22,表单1!$A$1:$E$59,5,FALSE)</f>
        <v>风化</v>
      </c>
      <c r="E22">
        <v>45.02</v>
      </c>
      <c r="F22">
        <v>0.01</v>
      </c>
      <c r="G22">
        <v>0.01</v>
      </c>
      <c r="H22">
        <v>3.12</v>
      </c>
      <c r="I22">
        <v>0.54</v>
      </c>
      <c r="J22">
        <v>4.16</v>
      </c>
      <c r="K22">
        <v>0.01</v>
      </c>
      <c r="L22">
        <v>0.7</v>
      </c>
      <c r="M22">
        <v>30.61</v>
      </c>
      <c r="N22">
        <v>6.22</v>
      </c>
      <c r="O22">
        <v>6.34</v>
      </c>
      <c r="P22">
        <v>0.23</v>
      </c>
      <c r="Q22">
        <v>0.01</v>
      </c>
      <c r="R22">
        <v>0.01</v>
      </c>
    </row>
    <row r="23" spans="1:18">
      <c r="A23" t="s">
        <v>114</v>
      </c>
      <c r="B23" s="1" t="str">
        <f t="shared" si="0"/>
        <v>53</v>
      </c>
      <c r="C23" t="str">
        <f>VLOOKUP(B23,表单1!$A$1:$E$59,3,FALSE)</f>
        <v>铅钡</v>
      </c>
      <c r="D23" t="str">
        <f>VLOOKUP(B23,表单1!$A$1:$E$59,5,FALSE)</f>
        <v>风化</v>
      </c>
      <c r="E23">
        <v>63.66</v>
      </c>
      <c r="F23">
        <v>3.04</v>
      </c>
      <c r="G23">
        <v>0.11</v>
      </c>
      <c r="H23">
        <v>0.78</v>
      </c>
      <c r="I23">
        <v>1.14</v>
      </c>
      <c r="J23">
        <v>6.06</v>
      </c>
      <c r="K23">
        <v>0.01</v>
      </c>
      <c r="L23">
        <v>0.54</v>
      </c>
      <c r="M23">
        <v>13.66</v>
      </c>
      <c r="N23">
        <v>8.99</v>
      </c>
      <c r="O23">
        <v>0.01</v>
      </c>
      <c r="P23">
        <v>0.27</v>
      </c>
      <c r="Q23">
        <v>0.01</v>
      </c>
      <c r="R23">
        <v>0.01</v>
      </c>
    </row>
    <row r="24" spans="1:18">
      <c r="A24" t="s">
        <v>36</v>
      </c>
      <c r="B24" s="1" t="str">
        <f t="shared" si="0"/>
        <v>20</v>
      </c>
      <c r="C24" t="str">
        <f>VLOOKUP(B24,表单1!$A$1:$E$59,3,FALSE)</f>
        <v>铅钡</v>
      </c>
      <c r="D24" t="str">
        <f>VLOOKUP(B24,表单1!$A$1:$E$59,5,FALSE)</f>
        <v>无风化</v>
      </c>
      <c r="E24">
        <v>37.36</v>
      </c>
      <c r="F24">
        <v>0.01</v>
      </c>
      <c r="G24">
        <v>0.71</v>
      </c>
      <c r="H24">
        <v>0.01</v>
      </c>
      <c r="I24">
        <v>0.01</v>
      </c>
      <c r="J24">
        <v>5.45</v>
      </c>
      <c r="K24">
        <v>1.51</v>
      </c>
      <c r="L24">
        <v>4.78</v>
      </c>
      <c r="M24">
        <v>9.3</v>
      </c>
      <c r="N24">
        <v>23.55</v>
      </c>
      <c r="O24">
        <v>5.75</v>
      </c>
      <c r="P24">
        <v>0.01</v>
      </c>
      <c r="Q24">
        <v>0.01</v>
      </c>
      <c r="R24">
        <v>0.01</v>
      </c>
    </row>
    <row r="25" spans="1:18">
      <c r="A25" t="s">
        <v>40</v>
      </c>
      <c r="B25" s="1" t="str">
        <f t="shared" si="0"/>
        <v>24</v>
      </c>
      <c r="C25" t="str">
        <f>VLOOKUP(B25,表单1!$A$1:$E$59,3,FALSE)</f>
        <v>铅钡</v>
      </c>
      <c r="D25" t="str">
        <f>VLOOKUP(B25,表单1!$A$1:$E$59,5,FALSE)</f>
        <v>无风化</v>
      </c>
      <c r="E25">
        <v>31.94</v>
      </c>
      <c r="F25">
        <v>0.01</v>
      </c>
      <c r="G25">
        <v>0.01</v>
      </c>
      <c r="H25">
        <v>0.47</v>
      </c>
      <c r="I25">
        <v>0.01</v>
      </c>
      <c r="J25">
        <v>1.59</v>
      </c>
      <c r="K25">
        <v>0.01</v>
      </c>
      <c r="L25">
        <v>8.46</v>
      </c>
      <c r="M25">
        <v>29.14</v>
      </c>
      <c r="N25">
        <v>26.23</v>
      </c>
      <c r="O25">
        <v>0.14</v>
      </c>
      <c r="P25">
        <v>0.91</v>
      </c>
      <c r="Q25">
        <v>0.01</v>
      </c>
      <c r="R25">
        <v>0.01</v>
      </c>
    </row>
    <row r="26" spans="1:18">
      <c r="A26" t="s">
        <v>103</v>
      </c>
      <c r="B26" s="1" t="str">
        <f t="shared" si="0"/>
        <v>30</v>
      </c>
      <c r="C26" t="str">
        <f>VLOOKUP(B26,表单1!$A$1:$E$59,3,FALSE)</f>
        <v>铅钡</v>
      </c>
      <c r="D26" t="str">
        <f>VLOOKUP(B26,表单1!$A$1:$E$59,5,FALSE)</f>
        <v>无风化</v>
      </c>
      <c r="E26">
        <v>34.34</v>
      </c>
      <c r="F26">
        <v>0.01</v>
      </c>
      <c r="G26">
        <v>1.41</v>
      </c>
      <c r="H26">
        <v>4.49</v>
      </c>
      <c r="I26">
        <v>0.98</v>
      </c>
      <c r="J26">
        <v>4.35</v>
      </c>
      <c r="K26">
        <v>2.12</v>
      </c>
      <c r="L26">
        <v>0.01</v>
      </c>
      <c r="M26">
        <v>39.22</v>
      </c>
      <c r="N26">
        <v>10.29</v>
      </c>
      <c r="O26">
        <v>0.01</v>
      </c>
      <c r="P26">
        <v>0.35</v>
      </c>
      <c r="Q26">
        <v>0.4</v>
      </c>
      <c r="R26">
        <v>0.01</v>
      </c>
    </row>
    <row r="27" spans="1:18">
      <c r="A27" t="s">
        <v>104</v>
      </c>
      <c r="B27" s="1" t="str">
        <f t="shared" si="0"/>
        <v>30</v>
      </c>
      <c r="C27" t="str">
        <f>VLOOKUP(B27,表单1!$A$1:$E$59,3,FALSE)</f>
        <v>铅钡</v>
      </c>
      <c r="D27" t="str">
        <f>VLOOKUP(B27,表单1!$A$1:$E$59,5,FALSE)</f>
        <v>无风化</v>
      </c>
      <c r="E27">
        <v>36.93</v>
      </c>
      <c r="F27">
        <v>0.01</v>
      </c>
      <c r="G27">
        <v>0.01</v>
      </c>
      <c r="H27">
        <v>4.24</v>
      </c>
      <c r="I27">
        <v>0.51</v>
      </c>
      <c r="J27">
        <v>3.86</v>
      </c>
      <c r="K27">
        <v>2.74</v>
      </c>
      <c r="L27">
        <v>0.01</v>
      </c>
      <c r="M27">
        <v>37.74</v>
      </c>
      <c r="N27">
        <v>10.35</v>
      </c>
      <c r="O27">
        <v>1.41</v>
      </c>
      <c r="P27">
        <v>0.48</v>
      </c>
      <c r="Q27">
        <v>0.44</v>
      </c>
      <c r="R27">
        <v>0.01</v>
      </c>
    </row>
    <row r="28" spans="1:18">
      <c r="A28" t="s">
        <v>47</v>
      </c>
      <c r="B28" s="1" t="str">
        <f t="shared" si="0"/>
        <v>31</v>
      </c>
      <c r="C28" t="str">
        <f>VLOOKUP(B28,表单1!$A$1:$E$59,3,FALSE)</f>
        <v>铅钡</v>
      </c>
      <c r="D28" t="str">
        <f>VLOOKUP(B28,表单1!$A$1:$E$59,5,FALSE)</f>
        <v>无风化</v>
      </c>
      <c r="E28">
        <v>65.91</v>
      </c>
      <c r="F28">
        <v>0.01</v>
      </c>
      <c r="G28">
        <v>0.01</v>
      </c>
      <c r="H28">
        <v>1.6</v>
      </c>
      <c r="I28">
        <v>0.89</v>
      </c>
      <c r="J28">
        <v>3.11</v>
      </c>
      <c r="K28">
        <v>4.59</v>
      </c>
      <c r="L28">
        <v>0.44</v>
      </c>
      <c r="M28">
        <v>16.55</v>
      </c>
      <c r="N28">
        <v>3.42</v>
      </c>
      <c r="O28">
        <v>1.62</v>
      </c>
      <c r="P28">
        <v>0.3</v>
      </c>
      <c r="Q28">
        <v>0.01</v>
      </c>
      <c r="R28">
        <v>0.01</v>
      </c>
    </row>
    <row r="29" spans="1:18">
      <c r="A29" t="s">
        <v>48</v>
      </c>
      <c r="B29" s="1" t="str">
        <f t="shared" si="0"/>
        <v>32</v>
      </c>
      <c r="C29" t="str">
        <f>VLOOKUP(B29,表单1!$A$1:$E$59,3,FALSE)</f>
        <v>铅钡</v>
      </c>
      <c r="D29" t="str">
        <f>VLOOKUP(B29,表单1!$A$1:$E$59,5,FALSE)</f>
        <v>无风化</v>
      </c>
      <c r="E29">
        <v>69.71</v>
      </c>
      <c r="F29">
        <v>0.01</v>
      </c>
      <c r="G29">
        <v>0.21</v>
      </c>
      <c r="H29">
        <v>0.46</v>
      </c>
      <c r="I29">
        <v>0.01</v>
      </c>
      <c r="J29">
        <v>2.36</v>
      </c>
      <c r="K29">
        <v>1</v>
      </c>
      <c r="L29">
        <v>0.11</v>
      </c>
      <c r="M29">
        <v>19.76</v>
      </c>
      <c r="N29">
        <v>4.88</v>
      </c>
      <c r="O29">
        <v>0.17</v>
      </c>
      <c r="P29">
        <v>0.01</v>
      </c>
      <c r="Q29">
        <v>0.01</v>
      </c>
      <c r="R29">
        <v>0.01</v>
      </c>
    </row>
    <row r="30" spans="1:18">
      <c r="A30" t="s">
        <v>50</v>
      </c>
      <c r="B30" s="1" t="str">
        <f t="shared" si="0"/>
        <v>33</v>
      </c>
      <c r="C30" t="str">
        <f>VLOOKUP(B30,表单1!$A$1:$E$59,3,FALSE)</f>
        <v>铅钡</v>
      </c>
      <c r="D30" t="str">
        <f>VLOOKUP(B30,表单1!$A$1:$E$59,5,FALSE)</f>
        <v>无风化</v>
      </c>
      <c r="E30">
        <v>75.51</v>
      </c>
      <c r="F30">
        <v>0.01</v>
      </c>
      <c r="G30">
        <v>0.15</v>
      </c>
      <c r="H30">
        <v>0.64</v>
      </c>
      <c r="I30">
        <v>1</v>
      </c>
      <c r="J30">
        <v>2.35</v>
      </c>
      <c r="K30">
        <v>0.01</v>
      </c>
      <c r="L30">
        <v>0.47</v>
      </c>
      <c r="M30">
        <v>16.16</v>
      </c>
      <c r="N30">
        <v>3.55</v>
      </c>
      <c r="O30">
        <v>0.13</v>
      </c>
      <c r="P30">
        <v>0.01</v>
      </c>
      <c r="Q30">
        <v>0.01</v>
      </c>
      <c r="R30">
        <v>0.01</v>
      </c>
    </row>
    <row r="31" spans="1:18">
      <c r="A31" t="s">
        <v>52</v>
      </c>
      <c r="B31" s="1" t="str">
        <f t="shared" si="0"/>
        <v>35</v>
      </c>
      <c r="C31" t="str">
        <f>VLOOKUP(B31,表单1!$A$1:$E$59,3,FALSE)</f>
        <v>铅钡</v>
      </c>
      <c r="D31" t="str">
        <f>VLOOKUP(B31,表单1!$A$1:$E$59,5,FALSE)</f>
        <v>无风化</v>
      </c>
      <c r="E31">
        <v>65.91</v>
      </c>
      <c r="F31">
        <v>0.01</v>
      </c>
      <c r="G31">
        <v>0.01</v>
      </c>
      <c r="H31">
        <v>0.38</v>
      </c>
      <c r="I31">
        <v>0.01</v>
      </c>
      <c r="J31">
        <v>1.44</v>
      </c>
      <c r="K31">
        <v>0.17</v>
      </c>
      <c r="L31">
        <v>0.16</v>
      </c>
      <c r="M31">
        <v>22.05</v>
      </c>
      <c r="N31">
        <v>5.68</v>
      </c>
      <c r="O31">
        <v>0.42</v>
      </c>
      <c r="P31">
        <v>0.01</v>
      </c>
      <c r="Q31">
        <v>0.01</v>
      </c>
      <c r="R31">
        <v>0.01</v>
      </c>
    </row>
    <row r="32" spans="1:18">
      <c r="A32" t="s">
        <v>54</v>
      </c>
      <c r="B32" s="1" t="str">
        <f t="shared" si="0"/>
        <v>37</v>
      </c>
      <c r="C32" t="str">
        <f>VLOOKUP(B32,表单1!$A$1:$E$59,3,FALSE)</f>
        <v>铅钡</v>
      </c>
      <c r="D32" t="str">
        <f>VLOOKUP(B32,表单1!$A$1:$E$59,5,FALSE)</f>
        <v>无风化</v>
      </c>
      <c r="E32">
        <v>60.12</v>
      </c>
      <c r="F32">
        <v>0.01</v>
      </c>
      <c r="G32">
        <v>0.23</v>
      </c>
      <c r="H32">
        <v>0.89</v>
      </c>
      <c r="I32">
        <v>0.01</v>
      </c>
      <c r="J32">
        <v>2.72</v>
      </c>
      <c r="K32">
        <v>0.01</v>
      </c>
      <c r="L32">
        <v>3.01</v>
      </c>
      <c r="M32">
        <v>17.24</v>
      </c>
      <c r="N32">
        <v>10.34</v>
      </c>
      <c r="O32">
        <v>1.46</v>
      </c>
      <c r="P32">
        <v>0.31</v>
      </c>
      <c r="Q32">
        <v>0.01</v>
      </c>
      <c r="R32">
        <v>3.66</v>
      </c>
    </row>
    <row r="33" spans="1:18">
      <c r="A33" t="s">
        <v>62</v>
      </c>
      <c r="B33" s="1" t="str">
        <f t="shared" si="0"/>
        <v>45</v>
      </c>
      <c r="C33" t="str">
        <f>VLOOKUP(B33,表单1!$A$1:$E$59,3,FALSE)</f>
        <v>铅钡</v>
      </c>
      <c r="D33" t="str">
        <f>VLOOKUP(B33,表单1!$A$1:$E$59,5,FALSE)</f>
        <v>无风化</v>
      </c>
      <c r="E33">
        <v>61.28</v>
      </c>
      <c r="F33">
        <v>2.66</v>
      </c>
      <c r="G33">
        <v>0.11</v>
      </c>
      <c r="H33">
        <v>0.84</v>
      </c>
      <c r="I33">
        <v>0.74</v>
      </c>
      <c r="J33">
        <v>5</v>
      </c>
      <c r="K33">
        <v>0.01</v>
      </c>
      <c r="L33">
        <v>0.53</v>
      </c>
      <c r="M33">
        <v>15.99</v>
      </c>
      <c r="N33">
        <v>10.96</v>
      </c>
      <c r="O33">
        <v>0.01</v>
      </c>
      <c r="P33">
        <v>0.23</v>
      </c>
      <c r="Q33">
        <v>0.01</v>
      </c>
      <c r="R33">
        <v>0.01</v>
      </c>
    </row>
    <row r="34" spans="1:18">
      <c r="A34" t="s">
        <v>63</v>
      </c>
      <c r="B34" s="1" t="str">
        <f t="shared" ref="B34:B36" si="1">LEFT(A34,2)</f>
        <v>46</v>
      </c>
      <c r="C34" t="str">
        <f>VLOOKUP(B34,表单1!$A$1:$E$59,3,FALSE)</f>
        <v>铅钡</v>
      </c>
      <c r="D34" t="str">
        <f>VLOOKUP(B34,表单1!$A$1:$E$59,5,FALSE)</f>
        <v>无风化</v>
      </c>
      <c r="E34">
        <v>55.21</v>
      </c>
      <c r="F34">
        <v>0.01</v>
      </c>
      <c r="G34">
        <v>0.25</v>
      </c>
      <c r="H34">
        <v>0.01</v>
      </c>
      <c r="I34">
        <v>1.67</v>
      </c>
      <c r="J34">
        <v>4.79</v>
      </c>
      <c r="K34">
        <v>0.01</v>
      </c>
      <c r="L34">
        <v>0.77</v>
      </c>
      <c r="M34">
        <v>25.25</v>
      </c>
      <c r="N34">
        <v>10.06</v>
      </c>
      <c r="O34">
        <v>0.2</v>
      </c>
      <c r="P34">
        <v>0.43</v>
      </c>
      <c r="Q34">
        <v>0.01</v>
      </c>
      <c r="R34">
        <v>0.01</v>
      </c>
    </row>
    <row r="35" spans="1:18">
      <c r="A35" t="s">
        <v>64</v>
      </c>
      <c r="B35" s="1" t="str">
        <f t="shared" si="1"/>
        <v>47</v>
      </c>
      <c r="C35" t="str">
        <f>VLOOKUP(B35,表单1!$A$1:$E$59,3,FALSE)</f>
        <v>铅钡</v>
      </c>
      <c r="D35" t="str">
        <f>VLOOKUP(B35,表单1!$A$1:$E$59,5,FALSE)</f>
        <v>无风化</v>
      </c>
      <c r="E35">
        <v>51.54</v>
      </c>
      <c r="F35">
        <v>4.66</v>
      </c>
      <c r="G35">
        <v>0.29</v>
      </c>
      <c r="H35">
        <v>0.87</v>
      </c>
      <c r="I35">
        <v>0.61</v>
      </c>
      <c r="J35">
        <v>3.06</v>
      </c>
      <c r="K35">
        <v>0.01</v>
      </c>
      <c r="L35">
        <v>0.65</v>
      </c>
      <c r="M35">
        <v>25.4</v>
      </c>
      <c r="N35">
        <v>9.23</v>
      </c>
      <c r="O35">
        <v>0.1</v>
      </c>
      <c r="P35">
        <v>0.85</v>
      </c>
      <c r="Q35">
        <v>0.01</v>
      </c>
      <c r="R35">
        <v>0.01</v>
      </c>
    </row>
    <row r="36" spans="1:18">
      <c r="A36" t="s">
        <v>73</v>
      </c>
      <c r="B36" s="1" t="str">
        <f t="shared" si="1"/>
        <v>55</v>
      </c>
      <c r="C36" t="str">
        <f>VLOOKUP(B36,表单1!$A$1:$E$59,3,FALSE)</f>
        <v>铅钡</v>
      </c>
      <c r="D36" t="str">
        <f>VLOOKUP(B36,表单1!$A$1:$E$59,5,FALSE)</f>
        <v>无风化</v>
      </c>
      <c r="E36">
        <v>49.01</v>
      </c>
      <c r="F36">
        <v>2.71</v>
      </c>
      <c r="G36">
        <v>0.01</v>
      </c>
      <c r="H36">
        <v>1.13</v>
      </c>
      <c r="I36">
        <v>0.01</v>
      </c>
      <c r="J36">
        <v>1.45</v>
      </c>
      <c r="K36">
        <v>0.01</v>
      </c>
      <c r="L36">
        <v>0.86</v>
      </c>
      <c r="M36">
        <v>32.92</v>
      </c>
      <c r="N36">
        <v>7.95</v>
      </c>
      <c r="O36">
        <v>0.35</v>
      </c>
      <c r="P36">
        <v>0.01</v>
      </c>
      <c r="Q36">
        <v>0.01</v>
      </c>
      <c r="R36">
        <v>0.01</v>
      </c>
    </row>
  </sheetData>
  <sortState ref="A2:R36">
    <sortCondition ref="C2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6"/>
  <sheetViews>
    <sheetView workbookViewId="0">
      <selection activeCell="P1" sqref="P1"/>
    </sheetView>
  </sheetViews>
  <sheetFormatPr defaultColWidth="9" defaultRowHeight="14"/>
  <cols>
    <col min="1" max="1" width="14.6363636363636" customWidth="1"/>
    <col min="2" max="2" width="13.1818181818182" style="1" customWidth="1"/>
    <col min="3" max="3" width="11.2727272727273" customWidth="1"/>
    <col min="4" max="4" width="17" customWidth="1"/>
    <col min="16" max="16" width="13" customWidth="1"/>
  </cols>
  <sheetData>
    <row r="1" spans="1:18">
      <c r="A1" s="2" t="s">
        <v>78</v>
      </c>
      <c r="B1" s="3" t="s">
        <v>0</v>
      </c>
      <c r="C1" s="2" t="s">
        <v>2</v>
      </c>
      <c r="D1" s="2" t="s">
        <v>4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  <c r="M1" s="2" t="s">
        <v>87</v>
      </c>
      <c r="N1" s="2" t="s">
        <v>88</v>
      </c>
      <c r="O1" s="2" t="s">
        <v>89</v>
      </c>
      <c r="P1" s="2" t="s">
        <v>90</v>
      </c>
      <c r="Q1" s="2" t="s">
        <v>91</v>
      </c>
      <c r="R1" s="2" t="s">
        <v>92</v>
      </c>
    </row>
    <row r="2" spans="1:18">
      <c r="A2" t="s">
        <v>5</v>
      </c>
      <c r="B2" s="1" t="str">
        <f t="shared" ref="B2:B36" si="0">LEFT(A2,2)</f>
        <v>01</v>
      </c>
      <c r="C2" t="str">
        <f>VLOOKUP(B2,表单1!$A$1:$E$59,3,FALSE)</f>
        <v>高钾</v>
      </c>
      <c r="D2" t="str">
        <f>VLOOKUP(B2,表单1!$A$1:$E$59,5,FALSE)</f>
        <v>无风化</v>
      </c>
      <c r="E2">
        <v>69.33</v>
      </c>
      <c r="F2">
        <v>0.04</v>
      </c>
      <c r="G2">
        <v>9.99</v>
      </c>
      <c r="H2">
        <v>6.32</v>
      </c>
      <c r="I2">
        <v>0.87</v>
      </c>
      <c r="J2">
        <v>3.93</v>
      </c>
      <c r="K2">
        <v>1.74</v>
      </c>
      <c r="L2">
        <v>3.87</v>
      </c>
      <c r="M2">
        <v>0.04</v>
      </c>
      <c r="N2">
        <v>0.04</v>
      </c>
      <c r="O2">
        <v>1.17</v>
      </c>
      <c r="P2">
        <v>0.04</v>
      </c>
      <c r="Q2">
        <v>0.04</v>
      </c>
      <c r="R2">
        <v>0.39</v>
      </c>
    </row>
    <row r="3" spans="1:18">
      <c r="A3" t="s">
        <v>93</v>
      </c>
      <c r="B3" s="1" t="str">
        <f t="shared" si="0"/>
        <v>03</v>
      </c>
      <c r="C3" t="str">
        <f>VLOOKUP(B3,表单1!$A$1:$E$59,3,FALSE)</f>
        <v>高钾</v>
      </c>
      <c r="D3" t="str">
        <f>VLOOKUP(B3,表单1!$A$1:$E$59,5,FALSE)</f>
        <v>无风化</v>
      </c>
      <c r="E3">
        <v>87.05</v>
      </c>
      <c r="F3">
        <v>0.04</v>
      </c>
      <c r="G3">
        <v>5.19</v>
      </c>
      <c r="H3">
        <v>2.01</v>
      </c>
      <c r="I3">
        <v>0.04</v>
      </c>
      <c r="J3">
        <v>4.06</v>
      </c>
      <c r="K3">
        <v>0.04</v>
      </c>
      <c r="L3">
        <v>0.78</v>
      </c>
      <c r="M3">
        <v>0.25</v>
      </c>
      <c r="N3">
        <v>0.04</v>
      </c>
      <c r="O3">
        <v>0.66</v>
      </c>
      <c r="P3">
        <v>0.04</v>
      </c>
      <c r="Q3">
        <v>0.04</v>
      </c>
      <c r="R3">
        <v>0.04</v>
      </c>
    </row>
    <row r="4" spans="1:18">
      <c r="A4" t="s">
        <v>94</v>
      </c>
      <c r="B4" s="1" t="str">
        <f t="shared" si="0"/>
        <v>03</v>
      </c>
      <c r="C4" t="str">
        <f>VLOOKUP(B4,表单1!$A$1:$E$59,3,FALSE)</f>
        <v>高钾</v>
      </c>
      <c r="D4" t="str">
        <f>VLOOKUP(B4,表单1!$A$1:$E$59,5,FALSE)</f>
        <v>无风化</v>
      </c>
      <c r="E4">
        <v>61.71</v>
      </c>
      <c r="F4">
        <v>0.04</v>
      </c>
      <c r="G4">
        <v>12.37</v>
      </c>
      <c r="H4">
        <v>5.87</v>
      </c>
      <c r="I4">
        <v>1.11</v>
      </c>
      <c r="J4">
        <v>5.5</v>
      </c>
      <c r="K4">
        <v>2.16</v>
      </c>
      <c r="L4">
        <v>5.09</v>
      </c>
      <c r="M4">
        <v>1.41</v>
      </c>
      <c r="N4">
        <v>2.86</v>
      </c>
      <c r="O4">
        <v>0.7</v>
      </c>
      <c r="P4">
        <v>0.1</v>
      </c>
      <c r="Q4">
        <v>0.04</v>
      </c>
      <c r="R4">
        <v>0.04</v>
      </c>
    </row>
    <row r="5" spans="1:18">
      <c r="A5" t="s">
        <v>16</v>
      </c>
      <c r="B5" s="1" t="str">
        <f t="shared" si="0"/>
        <v>04</v>
      </c>
      <c r="C5" t="str">
        <f>VLOOKUP(B5,表单1!$A$1:$E$59,3,FALSE)</f>
        <v>高钾</v>
      </c>
      <c r="D5" t="str">
        <f>VLOOKUP(B5,表单1!$A$1:$E$59,5,FALSE)</f>
        <v>无风化</v>
      </c>
      <c r="E5">
        <v>65.88</v>
      </c>
      <c r="F5">
        <v>0.04</v>
      </c>
      <c r="G5">
        <v>9.67</v>
      </c>
      <c r="H5">
        <v>7.12</v>
      </c>
      <c r="I5">
        <v>1.56</v>
      </c>
      <c r="J5">
        <v>6.44</v>
      </c>
      <c r="K5">
        <v>2.06</v>
      </c>
      <c r="L5">
        <v>2.18</v>
      </c>
      <c r="M5">
        <v>0.04</v>
      </c>
      <c r="N5">
        <v>0.04</v>
      </c>
      <c r="O5">
        <v>0.79</v>
      </c>
      <c r="P5">
        <v>0.04</v>
      </c>
      <c r="Q5">
        <v>0.04</v>
      </c>
      <c r="R5">
        <v>0.36</v>
      </c>
    </row>
    <row r="6" spans="1:18">
      <c r="A6" t="s">
        <v>17</v>
      </c>
      <c r="B6" s="1" t="str">
        <f t="shared" si="0"/>
        <v>05</v>
      </c>
      <c r="C6" t="str">
        <f>VLOOKUP(B6,表单1!$A$1:$E$59,3,FALSE)</f>
        <v>高钾</v>
      </c>
      <c r="D6" t="str">
        <f>VLOOKUP(B6,表单1!$A$1:$E$59,5,FALSE)</f>
        <v>无风化</v>
      </c>
      <c r="E6">
        <v>61.58</v>
      </c>
      <c r="F6">
        <v>0.04</v>
      </c>
      <c r="G6">
        <v>10.95</v>
      </c>
      <c r="H6">
        <v>7.35</v>
      </c>
      <c r="I6">
        <v>1.77</v>
      </c>
      <c r="J6">
        <v>7.5</v>
      </c>
      <c r="K6">
        <v>2.62</v>
      </c>
      <c r="L6">
        <v>3.27</v>
      </c>
      <c r="M6">
        <v>0.04</v>
      </c>
      <c r="N6">
        <v>0.04</v>
      </c>
      <c r="O6">
        <v>0.94</v>
      </c>
      <c r="P6">
        <v>0.06</v>
      </c>
      <c r="Q6">
        <v>0.04</v>
      </c>
      <c r="R6">
        <v>0.47</v>
      </c>
    </row>
    <row r="7" spans="1:18">
      <c r="A7" t="s">
        <v>95</v>
      </c>
      <c r="B7" s="1" t="str">
        <f t="shared" si="0"/>
        <v>06</v>
      </c>
      <c r="C7" t="str">
        <f>VLOOKUP(B7,表单1!$A$1:$E$59,3,FALSE)</f>
        <v>高钾</v>
      </c>
      <c r="D7" t="str">
        <f>VLOOKUP(B7,表单1!$A$1:$E$59,5,FALSE)</f>
        <v>无风化</v>
      </c>
      <c r="E7">
        <v>67.65</v>
      </c>
      <c r="F7">
        <v>0.04</v>
      </c>
      <c r="G7">
        <v>7.37</v>
      </c>
      <c r="H7">
        <v>0.04</v>
      </c>
      <c r="I7">
        <v>1.98</v>
      </c>
      <c r="J7">
        <v>11.15</v>
      </c>
      <c r="K7">
        <v>2.39</v>
      </c>
      <c r="L7">
        <v>2.51</v>
      </c>
      <c r="M7">
        <v>0.2</v>
      </c>
      <c r="N7">
        <v>1.38</v>
      </c>
      <c r="O7">
        <v>4.18</v>
      </c>
      <c r="P7">
        <v>0.11</v>
      </c>
      <c r="Q7">
        <v>0.04</v>
      </c>
      <c r="R7">
        <v>0.04</v>
      </c>
    </row>
    <row r="8" spans="1:18">
      <c r="A8" t="s">
        <v>96</v>
      </c>
      <c r="B8" s="1" t="str">
        <f t="shared" si="0"/>
        <v>06</v>
      </c>
      <c r="C8" t="str">
        <f>VLOOKUP(B8,表单1!$A$1:$E$59,3,FALSE)</f>
        <v>高钾</v>
      </c>
      <c r="D8" t="str">
        <f>VLOOKUP(B8,表单1!$A$1:$E$59,5,FALSE)</f>
        <v>无风化</v>
      </c>
      <c r="E8">
        <v>59.81</v>
      </c>
      <c r="F8">
        <v>0.04</v>
      </c>
      <c r="G8">
        <v>7.68</v>
      </c>
      <c r="H8">
        <v>5.41</v>
      </c>
      <c r="I8">
        <v>1.73</v>
      </c>
      <c r="J8">
        <v>10.05</v>
      </c>
      <c r="K8">
        <v>6.04</v>
      </c>
      <c r="L8">
        <v>2.18</v>
      </c>
      <c r="M8">
        <v>0.35</v>
      </c>
      <c r="N8">
        <v>0.97</v>
      </c>
      <c r="O8">
        <v>4.5</v>
      </c>
      <c r="P8">
        <v>0.12</v>
      </c>
      <c r="Q8">
        <v>0.04</v>
      </c>
      <c r="R8">
        <v>0.04</v>
      </c>
    </row>
    <row r="9" spans="1:18">
      <c r="A9" t="s">
        <v>27</v>
      </c>
      <c r="B9" s="1" t="str">
        <f t="shared" si="0"/>
        <v>13</v>
      </c>
      <c r="C9" t="str">
        <f>VLOOKUP(B9,表单1!$A$1:$E$59,3,FALSE)</f>
        <v>高钾</v>
      </c>
      <c r="D9" t="str">
        <f>VLOOKUP(B9,表单1!$A$1:$E$59,5,FALSE)</f>
        <v>无风化</v>
      </c>
      <c r="E9">
        <v>59.01</v>
      </c>
      <c r="F9">
        <v>2.86</v>
      </c>
      <c r="G9">
        <v>12.53</v>
      </c>
      <c r="H9">
        <v>8.7</v>
      </c>
      <c r="I9">
        <v>0.04</v>
      </c>
      <c r="J9">
        <v>6.16</v>
      </c>
      <c r="K9">
        <v>2.88</v>
      </c>
      <c r="L9">
        <v>4.73</v>
      </c>
      <c r="M9">
        <v>0.04</v>
      </c>
      <c r="N9">
        <v>0.04</v>
      </c>
      <c r="O9">
        <v>1.27</v>
      </c>
      <c r="P9">
        <v>0.04</v>
      </c>
      <c r="Q9">
        <v>0.04</v>
      </c>
      <c r="R9">
        <v>0.04</v>
      </c>
    </row>
    <row r="10" spans="1:18">
      <c r="A10" t="s">
        <v>28</v>
      </c>
      <c r="B10" s="1" t="str">
        <f t="shared" si="0"/>
        <v>14</v>
      </c>
      <c r="C10" t="str">
        <f>VLOOKUP(B10,表单1!$A$1:$E$59,3,FALSE)</f>
        <v>高钾</v>
      </c>
      <c r="D10" t="str">
        <f>VLOOKUP(B10,表单1!$A$1:$E$59,5,FALSE)</f>
        <v>无风化</v>
      </c>
      <c r="E10">
        <v>62.47</v>
      </c>
      <c r="F10">
        <v>3.38</v>
      </c>
      <c r="G10">
        <v>12.28</v>
      </c>
      <c r="H10">
        <v>8.23</v>
      </c>
      <c r="I10">
        <v>0.66</v>
      </c>
      <c r="J10">
        <v>9.23</v>
      </c>
      <c r="K10">
        <v>0.5</v>
      </c>
      <c r="L10">
        <v>0.47</v>
      </c>
      <c r="M10">
        <v>1.62</v>
      </c>
      <c r="N10">
        <v>0.04</v>
      </c>
      <c r="O10">
        <v>0.16</v>
      </c>
      <c r="P10">
        <v>0.04</v>
      </c>
      <c r="Q10">
        <v>0.04</v>
      </c>
      <c r="R10">
        <v>0.04</v>
      </c>
    </row>
    <row r="11" spans="1:18">
      <c r="A11" t="s">
        <v>31</v>
      </c>
      <c r="B11" s="1" t="str">
        <f t="shared" si="0"/>
        <v>16</v>
      </c>
      <c r="C11" t="str">
        <f>VLOOKUP(B11,表单1!$A$1:$E$59,3,FALSE)</f>
        <v>高钾</v>
      </c>
      <c r="D11" t="str">
        <f>VLOOKUP(B11,表单1!$A$1:$E$59,5,FALSE)</f>
        <v>无风化</v>
      </c>
      <c r="E11">
        <v>65.18</v>
      </c>
      <c r="F11">
        <v>2.1</v>
      </c>
      <c r="G11">
        <v>14.52</v>
      </c>
      <c r="H11">
        <v>8.27</v>
      </c>
      <c r="I11">
        <v>0.52</v>
      </c>
      <c r="J11">
        <v>6.18</v>
      </c>
      <c r="K11">
        <v>0.42</v>
      </c>
      <c r="L11">
        <v>1.07</v>
      </c>
      <c r="M11">
        <v>0.11</v>
      </c>
      <c r="N11">
        <v>0</v>
      </c>
      <c r="O11">
        <v>0.04</v>
      </c>
      <c r="P11">
        <v>0.04</v>
      </c>
      <c r="Q11">
        <v>0.04</v>
      </c>
      <c r="R11">
        <v>0.04</v>
      </c>
    </row>
    <row r="12" spans="1:18">
      <c r="A12" t="s">
        <v>33</v>
      </c>
      <c r="B12" s="1" t="str">
        <f t="shared" si="0"/>
        <v>18</v>
      </c>
      <c r="C12" t="str">
        <f>VLOOKUP(B12,表单1!$A$1:$E$59,3,FALSE)</f>
        <v>高钾</v>
      </c>
      <c r="D12" t="str">
        <f>VLOOKUP(B12,表单1!$A$1:$E$59,5,FALSE)</f>
        <v>无风化</v>
      </c>
      <c r="E12">
        <v>79.46</v>
      </c>
      <c r="F12">
        <v>0.04</v>
      </c>
      <c r="G12">
        <v>9.42</v>
      </c>
      <c r="H12">
        <v>0.04</v>
      </c>
      <c r="I12">
        <v>1.53</v>
      </c>
      <c r="J12">
        <v>3.05</v>
      </c>
      <c r="K12">
        <v>0.04</v>
      </c>
      <c r="L12">
        <v>0.04</v>
      </c>
      <c r="M12">
        <v>0.04</v>
      </c>
      <c r="N12">
        <v>0.04</v>
      </c>
      <c r="O12">
        <v>1.36</v>
      </c>
      <c r="P12">
        <v>0.07</v>
      </c>
      <c r="Q12">
        <v>2.36</v>
      </c>
      <c r="R12">
        <v>0.04</v>
      </c>
    </row>
    <row r="13" spans="1:18">
      <c r="A13" t="s">
        <v>37</v>
      </c>
      <c r="B13" s="1" t="str">
        <f t="shared" si="0"/>
        <v>21</v>
      </c>
      <c r="C13" t="str">
        <f>VLOOKUP(B13,表单1!$A$1:$E$59,3,FALSE)</f>
        <v>高钾</v>
      </c>
      <c r="D13" t="str">
        <f>VLOOKUP(B13,表单1!$A$1:$E$59,5,FALSE)</f>
        <v>无风化</v>
      </c>
      <c r="E13">
        <v>76.68</v>
      </c>
      <c r="F13">
        <v>0.04</v>
      </c>
      <c r="G13">
        <v>0.04</v>
      </c>
      <c r="H13">
        <v>4.71</v>
      </c>
      <c r="I13">
        <v>1.22</v>
      </c>
      <c r="J13">
        <v>6.19</v>
      </c>
      <c r="K13">
        <v>2.37</v>
      </c>
      <c r="L13">
        <v>3.28</v>
      </c>
      <c r="M13">
        <v>1</v>
      </c>
      <c r="N13">
        <v>1.97</v>
      </c>
      <c r="O13">
        <v>1.1</v>
      </c>
      <c r="P13">
        <v>0.04</v>
      </c>
      <c r="Q13">
        <v>0.04</v>
      </c>
      <c r="R13">
        <v>0.04</v>
      </c>
    </row>
    <row r="14" spans="1:18">
      <c r="A14" t="s">
        <v>98</v>
      </c>
      <c r="B14" s="1" t="str">
        <f t="shared" si="0"/>
        <v>23</v>
      </c>
      <c r="C14" t="str">
        <f>VLOOKUP(B14,表单1!$A$1:$E$59,3,FALSE)</f>
        <v>铅钡</v>
      </c>
      <c r="D14" t="str">
        <f>VLOOKUP(B14,表单1!$A$1:$E$59,5,FALSE)</f>
        <v>风化</v>
      </c>
      <c r="E14">
        <v>53.79</v>
      </c>
      <c r="F14">
        <v>7.92</v>
      </c>
      <c r="G14">
        <v>0.04</v>
      </c>
      <c r="H14">
        <v>0.5</v>
      </c>
      <c r="I14">
        <v>0.71</v>
      </c>
      <c r="J14">
        <v>1.42</v>
      </c>
      <c r="K14">
        <v>0.04</v>
      </c>
      <c r="L14">
        <v>2.99</v>
      </c>
      <c r="M14">
        <v>16.98</v>
      </c>
      <c r="N14">
        <v>11.86</v>
      </c>
      <c r="O14">
        <v>0.04</v>
      </c>
      <c r="P14">
        <v>0.33</v>
      </c>
      <c r="Q14">
        <v>0.04</v>
      </c>
      <c r="R14">
        <v>0.04</v>
      </c>
    </row>
    <row r="15" spans="1:18">
      <c r="A15" t="s">
        <v>99</v>
      </c>
      <c r="B15" s="1" t="str">
        <f t="shared" si="0"/>
        <v>25</v>
      </c>
      <c r="C15" t="str">
        <f>VLOOKUP(B15,表单1!$A$1:$E$59,3,FALSE)</f>
        <v>铅钡</v>
      </c>
      <c r="D15" t="str">
        <f>VLOOKUP(B15,表单1!$A$1:$E$59,5,FALSE)</f>
        <v>风化</v>
      </c>
      <c r="E15">
        <v>50.61</v>
      </c>
      <c r="F15">
        <v>2.31</v>
      </c>
      <c r="G15">
        <v>0.04</v>
      </c>
      <c r="H15">
        <v>0.63</v>
      </c>
      <c r="I15">
        <v>0.04</v>
      </c>
      <c r="J15">
        <v>1.9</v>
      </c>
      <c r="K15">
        <v>1.55</v>
      </c>
      <c r="L15">
        <v>1.12</v>
      </c>
      <c r="M15">
        <v>31.9</v>
      </c>
      <c r="N15">
        <v>6.65</v>
      </c>
      <c r="O15">
        <v>0.19</v>
      </c>
      <c r="P15">
        <v>0.2</v>
      </c>
      <c r="Q15">
        <v>0.04</v>
      </c>
      <c r="R15">
        <v>0.04</v>
      </c>
    </row>
    <row r="16" spans="1:18">
      <c r="A16" t="s">
        <v>101</v>
      </c>
      <c r="B16" s="1" t="str">
        <f t="shared" si="0"/>
        <v>28</v>
      </c>
      <c r="C16" t="str">
        <f>VLOOKUP(B16,表单1!$A$1:$E$59,3,FALSE)</f>
        <v>铅钡</v>
      </c>
      <c r="D16" t="str">
        <f>VLOOKUP(B16,表单1!$A$1:$E$59,5,FALSE)</f>
        <v>风化</v>
      </c>
      <c r="E16">
        <v>68.08</v>
      </c>
      <c r="F16">
        <v>0.04</v>
      </c>
      <c r="G16">
        <v>0.26</v>
      </c>
      <c r="H16">
        <v>1.34</v>
      </c>
      <c r="I16">
        <v>1</v>
      </c>
      <c r="J16">
        <v>4.7</v>
      </c>
      <c r="K16">
        <v>0.41</v>
      </c>
      <c r="L16">
        <v>0.33</v>
      </c>
      <c r="M16">
        <v>17.14</v>
      </c>
      <c r="N16">
        <v>4.04</v>
      </c>
      <c r="O16">
        <v>1.04</v>
      </c>
      <c r="P16">
        <v>0.12</v>
      </c>
      <c r="Q16">
        <v>0.23</v>
      </c>
      <c r="R16">
        <v>0.04</v>
      </c>
    </row>
    <row r="17" spans="1:18">
      <c r="A17" t="s">
        <v>102</v>
      </c>
      <c r="B17" s="1" t="str">
        <f t="shared" si="0"/>
        <v>29</v>
      </c>
      <c r="C17" t="str">
        <f>VLOOKUP(B17,表单1!$A$1:$E$59,3,FALSE)</f>
        <v>铅钡</v>
      </c>
      <c r="D17" t="str">
        <f>VLOOKUP(B17,表单1!$A$1:$E$59,5,FALSE)</f>
        <v>风化</v>
      </c>
      <c r="E17">
        <v>63.3</v>
      </c>
      <c r="F17">
        <v>0.92</v>
      </c>
      <c r="G17">
        <v>0.3</v>
      </c>
      <c r="H17">
        <v>2.98</v>
      </c>
      <c r="I17">
        <v>1.49</v>
      </c>
      <c r="J17">
        <v>14.34</v>
      </c>
      <c r="K17">
        <v>0.81</v>
      </c>
      <c r="L17">
        <v>0.74</v>
      </c>
      <c r="M17">
        <v>12.31</v>
      </c>
      <c r="N17">
        <v>2.03</v>
      </c>
      <c r="O17">
        <v>0.41</v>
      </c>
      <c r="P17">
        <v>0.25</v>
      </c>
      <c r="Q17">
        <v>0.04</v>
      </c>
      <c r="R17">
        <v>0.04</v>
      </c>
    </row>
    <row r="18" spans="1:18">
      <c r="A18" t="s">
        <v>105</v>
      </c>
      <c r="B18" s="1" t="str">
        <f t="shared" si="0"/>
        <v>42</v>
      </c>
      <c r="C18" t="str">
        <f>VLOOKUP(B18,表单1!$A$1:$E$59,3,FALSE)</f>
        <v>铅钡</v>
      </c>
      <c r="D18" t="str">
        <f>VLOOKUP(B18,表单1!$A$1:$E$59,5,FALSE)</f>
        <v>风化</v>
      </c>
      <c r="E18">
        <v>51.26</v>
      </c>
      <c r="F18">
        <v>5.74</v>
      </c>
      <c r="G18">
        <v>0.15</v>
      </c>
      <c r="H18">
        <v>0.79</v>
      </c>
      <c r="I18">
        <v>1.09</v>
      </c>
      <c r="J18">
        <v>3.53</v>
      </c>
      <c r="K18">
        <v>0.04</v>
      </c>
      <c r="L18">
        <v>2.67</v>
      </c>
      <c r="M18">
        <v>21.88</v>
      </c>
      <c r="N18">
        <v>10.47</v>
      </c>
      <c r="O18">
        <v>0.08</v>
      </c>
      <c r="P18">
        <v>0.35</v>
      </c>
      <c r="Q18">
        <v>0.04</v>
      </c>
      <c r="R18">
        <v>0.04</v>
      </c>
    </row>
    <row r="19" spans="1:18">
      <c r="A19" t="s">
        <v>106</v>
      </c>
      <c r="B19" s="1" t="str">
        <f t="shared" si="0"/>
        <v>42</v>
      </c>
      <c r="C19" t="str">
        <f>VLOOKUP(B19,表单1!$A$1:$E$59,3,FALSE)</f>
        <v>铅钡</v>
      </c>
      <c r="D19" t="str">
        <f>VLOOKUP(B19,表单1!$A$1:$E$59,5,FALSE)</f>
        <v>风化</v>
      </c>
      <c r="E19">
        <v>51.33</v>
      </c>
      <c r="F19">
        <v>5.68</v>
      </c>
      <c r="G19">
        <v>0.35</v>
      </c>
      <c r="H19">
        <v>0.04</v>
      </c>
      <c r="I19">
        <v>1.16</v>
      </c>
      <c r="J19">
        <v>5.66</v>
      </c>
      <c r="K19">
        <v>0.04</v>
      </c>
      <c r="L19">
        <v>2.72</v>
      </c>
      <c r="M19">
        <v>20.12</v>
      </c>
      <c r="N19">
        <v>10.88</v>
      </c>
      <c r="O19">
        <v>0.04</v>
      </c>
      <c r="P19">
        <v>0.04</v>
      </c>
      <c r="Q19">
        <v>0.04</v>
      </c>
      <c r="R19">
        <v>0.04</v>
      </c>
    </row>
    <row r="20" spans="1:18">
      <c r="A20" t="s">
        <v>109</v>
      </c>
      <c r="B20" s="1" t="str">
        <f t="shared" si="0"/>
        <v>44</v>
      </c>
      <c r="C20" t="str">
        <f>VLOOKUP(B20,表单1!$A$1:$E$59,3,FALSE)</f>
        <v>铅钡</v>
      </c>
      <c r="D20" t="str">
        <f>VLOOKUP(B20,表单1!$A$1:$E$59,5,FALSE)</f>
        <v>风化</v>
      </c>
      <c r="E20">
        <v>60.74</v>
      </c>
      <c r="F20">
        <v>3.06</v>
      </c>
      <c r="G20">
        <v>0.2</v>
      </c>
      <c r="H20">
        <v>2.14</v>
      </c>
      <c r="I20">
        <v>0.04</v>
      </c>
      <c r="J20">
        <v>12.69</v>
      </c>
      <c r="K20">
        <v>0.77</v>
      </c>
      <c r="L20">
        <v>0.43</v>
      </c>
      <c r="M20">
        <v>13.61</v>
      </c>
      <c r="N20">
        <v>5.22</v>
      </c>
      <c r="O20">
        <v>0.04</v>
      </c>
      <c r="P20">
        <v>0.26</v>
      </c>
      <c r="Q20">
        <v>0.04</v>
      </c>
      <c r="R20">
        <v>0.04</v>
      </c>
    </row>
    <row r="21" spans="1:18">
      <c r="A21" t="s">
        <v>110</v>
      </c>
      <c r="B21" s="1" t="str">
        <f t="shared" si="0"/>
        <v>49</v>
      </c>
      <c r="C21" t="str">
        <f>VLOOKUP(B21,表单1!$A$1:$E$59,3,FALSE)</f>
        <v>铅钡</v>
      </c>
      <c r="D21" t="str">
        <f>VLOOKUP(B21,表单1!$A$1:$E$59,5,FALSE)</f>
        <v>风化</v>
      </c>
      <c r="E21">
        <v>54.61</v>
      </c>
      <c r="F21">
        <v>0.04</v>
      </c>
      <c r="G21">
        <v>0.3</v>
      </c>
      <c r="H21">
        <v>2.08</v>
      </c>
      <c r="I21">
        <v>1.2</v>
      </c>
      <c r="J21">
        <v>6.5</v>
      </c>
      <c r="K21">
        <v>1.27</v>
      </c>
      <c r="L21">
        <v>0.45</v>
      </c>
      <c r="M21">
        <v>23.02</v>
      </c>
      <c r="N21">
        <v>4.19</v>
      </c>
      <c r="O21">
        <v>4.32</v>
      </c>
      <c r="P21">
        <v>0.3</v>
      </c>
      <c r="Q21">
        <v>0.04</v>
      </c>
      <c r="R21">
        <v>0.04</v>
      </c>
    </row>
    <row r="22" spans="1:18">
      <c r="A22" t="s">
        <v>111</v>
      </c>
      <c r="B22" s="1" t="str">
        <f t="shared" si="0"/>
        <v>50</v>
      </c>
      <c r="C22" t="str">
        <f>VLOOKUP(B22,表单1!$A$1:$E$59,3,FALSE)</f>
        <v>铅钡</v>
      </c>
      <c r="D22" t="str">
        <f>VLOOKUP(B22,表单1!$A$1:$E$59,5,FALSE)</f>
        <v>风化</v>
      </c>
      <c r="E22">
        <v>45.02</v>
      </c>
      <c r="F22">
        <v>0.04</v>
      </c>
      <c r="G22">
        <v>0.04</v>
      </c>
      <c r="H22">
        <v>3.12</v>
      </c>
      <c r="I22">
        <v>0.54</v>
      </c>
      <c r="J22">
        <v>4.16</v>
      </c>
      <c r="K22">
        <v>0.04</v>
      </c>
      <c r="L22">
        <v>0.7</v>
      </c>
      <c r="M22">
        <v>30.61</v>
      </c>
      <c r="N22">
        <v>6.22</v>
      </c>
      <c r="O22">
        <v>6.34</v>
      </c>
      <c r="P22">
        <v>0.23</v>
      </c>
      <c r="Q22">
        <v>0.04</v>
      </c>
      <c r="R22">
        <v>0.04</v>
      </c>
    </row>
    <row r="23" spans="1:18">
      <c r="A23" t="s">
        <v>114</v>
      </c>
      <c r="B23" s="1" t="str">
        <f t="shared" si="0"/>
        <v>53</v>
      </c>
      <c r="C23" t="str">
        <f>VLOOKUP(B23,表单1!$A$1:$E$59,3,FALSE)</f>
        <v>铅钡</v>
      </c>
      <c r="D23" t="str">
        <f>VLOOKUP(B23,表单1!$A$1:$E$59,5,FALSE)</f>
        <v>风化</v>
      </c>
      <c r="E23">
        <v>63.66</v>
      </c>
      <c r="F23">
        <v>3.04</v>
      </c>
      <c r="G23">
        <v>0.11</v>
      </c>
      <c r="H23">
        <v>0.78</v>
      </c>
      <c r="I23">
        <v>1.14</v>
      </c>
      <c r="J23">
        <v>6.06</v>
      </c>
      <c r="K23">
        <v>0.04</v>
      </c>
      <c r="L23">
        <v>0.54</v>
      </c>
      <c r="M23">
        <v>13.66</v>
      </c>
      <c r="N23">
        <v>8.99</v>
      </c>
      <c r="O23">
        <v>0.04</v>
      </c>
      <c r="P23">
        <v>0.27</v>
      </c>
      <c r="Q23">
        <v>0.04</v>
      </c>
      <c r="R23">
        <v>0.04</v>
      </c>
    </row>
    <row r="24" spans="1:18">
      <c r="A24" t="s">
        <v>36</v>
      </c>
      <c r="B24" s="1" t="str">
        <f t="shared" si="0"/>
        <v>20</v>
      </c>
      <c r="C24" t="str">
        <f>VLOOKUP(B24,表单1!$A$1:$E$59,3,FALSE)</f>
        <v>铅钡</v>
      </c>
      <c r="D24" t="str">
        <f>VLOOKUP(B24,表单1!$A$1:$E$59,5,FALSE)</f>
        <v>无风化</v>
      </c>
      <c r="E24">
        <v>37.36</v>
      </c>
      <c r="F24">
        <v>0.04</v>
      </c>
      <c r="G24">
        <v>0.71</v>
      </c>
      <c r="H24">
        <v>0.04</v>
      </c>
      <c r="I24">
        <v>0.04</v>
      </c>
      <c r="J24">
        <v>5.45</v>
      </c>
      <c r="K24">
        <v>1.51</v>
      </c>
      <c r="L24">
        <v>4.78</v>
      </c>
      <c r="M24">
        <v>9.3</v>
      </c>
      <c r="N24">
        <v>23.55</v>
      </c>
      <c r="O24">
        <v>5.75</v>
      </c>
      <c r="P24">
        <v>0.04</v>
      </c>
      <c r="Q24">
        <v>0.04</v>
      </c>
      <c r="R24">
        <v>0.04</v>
      </c>
    </row>
    <row r="25" spans="1:18">
      <c r="A25" t="s">
        <v>40</v>
      </c>
      <c r="B25" s="1" t="str">
        <f t="shared" si="0"/>
        <v>24</v>
      </c>
      <c r="C25" t="str">
        <f>VLOOKUP(B25,表单1!$A$1:$E$59,3,FALSE)</f>
        <v>铅钡</v>
      </c>
      <c r="D25" t="str">
        <f>VLOOKUP(B25,表单1!$A$1:$E$59,5,FALSE)</f>
        <v>无风化</v>
      </c>
      <c r="E25">
        <v>31.94</v>
      </c>
      <c r="F25">
        <v>0.04</v>
      </c>
      <c r="G25">
        <v>0.04</v>
      </c>
      <c r="H25">
        <v>0.47</v>
      </c>
      <c r="I25">
        <v>0.04</v>
      </c>
      <c r="J25">
        <v>1.59</v>
      </c>
      <c r="K25">
        <v>0.04</v>
      </c>
      <c r="L25">
        <v>8.46</v>
      </c>
      <c r="M25">
        <v>29.14</v>
      </c>
      <c r="N25">
        <v>26.23</v>
      </c>
      <c r="O25">
        <v>0.14</v>
      </c>
      <c r="P25">
        <v>0.91</v>
      </c>
      <c r="Q25">
        <v>0.04</v>
      </c>
      <c r="R25">
        <v>0.04</v>
      </c>
    </row>
    <row r="26" spans="1:18">
      <c r="A26" t="s">
        <v>103</v>
      </c>
      <c r="B26" s="1" t="str">
        <f t="shared" si="0"/>
        <v>30</v>
      </c>
      <c r="C26" t="str">
        <f>VLOOKUP(B26,表单1!$A$1:$E$59,3,FALSE)</f>
        <v>铅钡</v>
      </c>
      <c r="D26" t="str">
        <f>VLOOKUP(B26,表单1!$A$1:$E$59,5,FALSE)</f>
        <v>无风化</v>
      </c>
      <c r="E26">
        <v>34.34</v>
      </c>
      <c r="F26">
        <v>0.04</v>
      </c>
      <c r="G26">
        <v>1.41</v>
      </c>
      <c r="H26">
        <v>4.49</v>
      </c>
      <c r="I26">
        <v>0.98</v>
      </c>
      <c r="J26">
        <v>4.35</v>
      </c>
      <c r="K26">
        <v>2.12</v>
      </c>
      <c r="L26">
        <v>0.04</v>
      </c>
      <c r="M26">
        <v>39.22</v>
      </c>
      <c r="N26">
        <v>10.29</v>
      </c>
      <c r="O26">
        <v>0.04</v>
      </c>
      <c r="P26">
        <v>0.35</v>
      </c>
      <c r="Q26">
        <v>0.4</v>
      </c>
      <c r="R26">
        <v>0.04</v>
      </c>
    </row>
    <row r="27" spans="1:18">
      <c r="A27" t="s">
        <v>104</v>
      </c>
      <c r="B27" s="1" t="str">
        <f t="shared" si="0"/>
        <v>30</v>
      </c>
      <c r="C27" t="str">
        <f>VLOOKUP(B27,表单1!$A$1:$E$59,3,FALSE)</f>
        <v>铅钡</v>
      </c>
      <c r="D27" t="str">
        <f>VLOOKUP(B27,表单1!$A$1:$E$59,5,FALSE)</f>
        <v>无风化</v>
      </c>
      <c r="E27">
        <v>36.93</v>
      </c>
      <c r="F27">
        <v>0.04</v>
      </c>
      <c r="G27">
        <v>0.04</v>
      </c>
      <c r="H27">
        <v>4.24</v>
      </c>
      <c r="I27">
        <v>0.51</v>
      </c>
      <c r="J27">
        <v>3.86</v>
      </c>
      <c r="K27">
        <v>2.74</v>
      </c>
      <c r="L27">
        <v>0.04</v>
      </c>
      <c r="M27">
        <v>37.74</v>
      </c>
      <c r="N27">
        <v>10.35</v>
      </c>
      <c r="O27">
        <v>1.41</v>
      </c>
      <c r="P27">
        <v>0.48</v>
      </c>
      <c r="Q27">
        <v>0.44</v>
      </c>
      <c r="R27">
        <v>0.04</v>
      </c>
    </row>
    <row r="28" spans="1:18">
      <c r="A28" t="s">
        <v>47</v>
      </c>
      <c r="B28" s="1" t="str">
        <f t="shared" si="0"/>
        <v>31</v>
      </c>
      <c r="C28" t="str">
        <f>VLOOKUP(B28,表单1!$A$1:$E$59,3,FALSE)</f>
        <v>铅钡</v>
      </c>
      <c r="D28" t="str">
        <f>VLOOKUP(B28,表单1!$A$1:$E$59,5,FALSE)</f>
        <v>无风化</v>
      </c>
      <c r="E28">
        <v>65.91</v>
      </c>
      <c r="F28">
        <v>0.04</v>
      </c>
      <c r="G28">
        <v>0.04</v>
      </c>
      <c r="H28">
        <v>1.6</v>
      </c>
      <c r="I28">
        <v>0.89</v>
      </c>
      <c r="J28">
        <v>3.11</v>
      </c>
      <c r="K28">
        <v>4.59</v>
      </c>
      <c r="L28">
        <v>0.44</v>
      </c>
      <c r="M28">
        <v>16.55</v>
      </c>
      <c r="N28">
        <v>3.42</v>
      </c>
      <c r="O28">
        <v>1.62</v>
      </c>
      <c r="P28">
        <v>0.3</v>
      </c>
      <c r="Q28">
        <v>0.04</v>
      </c>
      <c r="R28">
        <v>0.04</v>
      </c>
    </row>
    <row r="29" spans="1:18">
      <c r="A29" t="s">
        <v>48</v>
      </c>
      <c r="B29" s="1" t="str">
        <f t="shared" si="0"/>
        <v>32</v>
      </c>
      <c r="C29" t="str">
        <f>VLOOKUP(B29,表单1!$A$1:$E$59,3,FALSE)</f>
        <v>铅钡</v>
      </c>
      <c r="D29" t="str">
        <f>VLOOKUP(B29,表单1!$A$1:$E$59,5,FALSE)</f>
        <v>无风化</v>
      </c>
      <c r="E29">
        <v>69.71</v>
      </c>
      <c r="F29">
        <v>0.04</v>
      </c>
      <c r="G29">
        <v>0.21</v>
      </c>
      <c r="H29">
        <v>0.46</v>
      </c>
      <c r="I29">
        <v>0.04</v>
      </c>
      <c r="J29">
        <v>2.36</v>
      </c>
      <c r="K29">
        <v>1</v>
      </c>
      <c r="L29">
        <v>0.11</v>
      </c>
      <c r="M29">
        <v>19.76</v>
      </c>
      <c r="N29">
        <v>4.88</v>
      </c>
      <c r="O29">
        <v>0.17</v>
      </c>
      <c r="P29">
        <v>0.04</v>
      </c>
      <c r="Q29">
        <v>0.04</v>
      </c>
      <c r="R29">
        <v>0.04</v>
      </c>
    </row>
    <row r="30" spans="1:18">
      <c r="A30" t="s">
        <v>50</v>
      </c>
      <c r="B30" s="1" t="str">
        <f t="shared" si="0"/>
        <v>33</v>
      </c>
      <c r="C30" t="str">
        <f>VLOOKUP(B30,表单1!$A$1:$E$59,3,FALSE)</f>
        <v>铅钡</v>
      </c>
      <c r="D30" t="str">
        <f>VLOOKUP(B30,表单1!$A$1:$E$59,5,FALSE)</f>
        <v>无风化</v>
      </c>
      <c r="E30">
        <v>75.51</v>
      </c>
      <c r="F30">
        <v>0.04</v>
      </c>
      <c r="G30">
        <v>0.15</v>
      </c>
      <c r="H30">
        <v>0.64</v>
      </c>
      <c r="I30">
        <v>1</v>
      </c>
      <c r="J30">
        <v>2.35</v>
      </c>
      <c r="K30">
        <v>0.04</v>
      </c>
      <c r="L30">
        <v>0.47</v>
      </c>
      <c r="M30">
        <v>16.16</v>
      </c>
      <c r="N30">
        <v>3.55</v>
      </c>
      <c r="O30">
        <v>0.13</v>
      </c>
      <c r="P30">
        <v>0.04</v>
      </c>
      <c r="Q30">
        <v>0.04</v>
      </c>
      <c r="R30">
        <v>0.04</v>
      </c>
    </row>
    <row r="31" spans="1:18">
      <c r="A31" t="s">
        <v>52</v>
      </c>
      <c r="B31" s="1" t="str">
        <f t="shared" si="0"/>
        <v>35</v>
      </c>
      <c r="C31" t="str">
        <f>VLOOKUP(B31,表单1!$A$1:$E$59,3,FALSE)</f>
        <v>铅钡</v>
      </c>
      <c r="D31" t="str">
        <f>VLOOKUP(B31,表单1!$A$1:$E$59,5,FALSE)</f>
        <v>无风化</v>
      </c>
      <c r="E31">
        <v>65.91</v>
      </c>
      <c r="F31">
        <v>0.04</v>
      </c>
      <c r="G31">
        <v>0.04</v>
      </c>
      <c r="H31">
        <v>0.38</v>
      </c>
      <c r="I31">
        <v>0.04</v>
      </c>
      <c r="J31">
        <v>1.44</v>
      </c>
      <c r="K31">
        <v>0.17</v>
      </c>
      <c r="L31">
        <v>0.16</v>
      </c>
      <c r="M31">
        <v>22.05</v>
      </c>
      <c r="N31">
        <v>5.68</v>
      </c>
      <c r="O31">
        <v>0.42</v>
      </c>
      <c r="P31">
        <v>0.04</v>
      </c>
      <c r="Q31">
        <v>0.04</v>
      </c>
      <c r="R31">
        <v>0.04</v>
      </c>
    </row>
    <row r="32" spans="1:18">
      <c r="A32" t="s">
        <v>54</v>
      </c>
      <c r="B32" s="1" t="str">
        <f t="shared" si="0"/>
        <v>37</v>
      </c>
      <c r="C32" t="str">
        <f>VLOOKUP(B32,表单1!$A$1:$E$59,3,FALSE)</f>
        <v>铅钡</v>
      </c>
      <c r="D32" t="str">
        <f>VLOOKUP(B32,表单1!$A$1:$E$59,5,FALSE)</f>
        <v>无风化</v>
      </c>
      <c r="E32">
        <v>60.12</v>
      </c>
      <c r="F32">
        <v>0.04</v>
      </c>
      <c r="G32">
        <v>0.23</v>
      </c>
      <c r="H32">
        <v>0.89</v>
      </c>
      <c r="I32">
        <v>0.04</v>
      </c>
      <c r="J32">
        <v>2.72</v>
      </c>
      <c r="K32">
        <v>0.04</v>
      </c>
      <c r="L32">
        <v>3.01</v>
      </c>
      <c r="M32">
        <v>17.24</v>
      </c>
      <c r="N32">
        <v>10.34</v>
      </c>
      <c r="O32">
        <v>1.46</v>
      </c>
      <c r="P32">
        <v>0.31</v>
      </c>
      <c r="Q32">
        <v>0.04</v>
      </c>
      <c r="R32">
        <v>3.66</v>
      </c>
    </row>
    <row r="33" spans="1:18">
      <c r="A33" t="s">
        <v>62</v>
      </c>
      <c r="B33" s="1" t="str">
        <f t="shared" si="0"/>
        <v>45</v>
      </c>
      <c r="C33" t="str">
        <f>VLOOKUP(B33,表单1!$A$1:$E$59,3,FALSE)</f>
        <v>铅钡</v>
      </c>
      <c r="D33" t="str">
        <f>VLOOKUP(B33,表单1!$A$1:$E$59,5,FALSE)</f>
        <v>无风化</v>
      </c>
      <c r="E33">
        <v>61.28</v>
      </c>
      <c r="F33">
        <v>2.66</v>
      </c>
      <c r="G33">
        <v>0.11</v>
      </c>
      <c r="H33">
        <v>0.84</v>
      </c>
      <c r="I33">
        <v>0.74</v>
      </c>
      <c r="J33">
        <v>5</v>
      </c>
      <c r="K33">
        <v>0.04</v>
      </c>
      <c r="L33">
        <v>0.53</v>
      </c>
      <c r="M33">
        <v>15.99</v>
      </c>
      <c r="N33">
        <v>10.96</v>
      </c>
      <c r="O33">
        <v>0.04</v>
      </c>
      <c r="P33">
        <v>0.23</v>
      </c>
      <c r="Q33">
        <v>0.04</v>
      </c>
      <c r="R33">
        <v>0.04</v>
      </c>
    </row>
    <row r="34" spans="1:18">
      <c r="A34" t="s">
        <v>63</v>
      </c>
      <c r="B34" s="1" t="str">
        <f t="shared" si="0"/>
        <v>46</v>
      </c>
      <c r="C34" t="str">
        <f>VLOOKUP(B34,表单1!$A$1:$E$59,3,FALSE)</f>
        <v>铅钡</v>
      </c>
      <c r="D34" t="str">
        <f>VLOOKUP(B34,表单1!$A$1:$E$59,5,FALSE)</f>
        <v>无风化</v>
      </c>
      <c r="E34">
        <v>55.21</v>
      </c>
      <c r="F34">
        <v>0.04</v>
      </c>
      <c r="G34">
        <v>0.25</v>
      </c>
      <c r="H34">
        <v>0.04</v>
      </c>
      <c r="I34">
        <v>1.67</v>
      </c>
      <c r="J34">
        <v>4.79</v>
      </c>
      <c r="K34">
        <v>0.04</v>
      </c>
      <c r="L34">
        <v>0.77</v>
      </c>
      <c r="M34">
        <v>25.25</v>
      </c>
      <c r="N34">
        <v>10.06</v>
      </c>
      <c r="O34">
        <v>0.2</v>
      </c>
      <c r="P34">
        <v>0.43</v>
      </c>
      <c r="Q34">
        <v>0.04</v>
      </c>
      <c r="R34">
        <v>0.04</v>
      </c>
    </row>
    <row r="35" spans="1:18">
      <c r="A35" t="s">
        <v>64</v>
      </c>
      <c r="B35" s="1" t="str">
        <f t="shared" si="0"/>
        <v>47</v>
      </c>
      <c r="C35" t="str">
        <f>VLOOKUP(B35,表单1!$A$1:$E$59,3,FALSE)</f>
        <v>铅钡</v>
      </c>
      <c r="D35" t="str">
        <f>VLOOKUP(B35,表单1!$A$1:$E$59,5,FALSE)</f>
        <v>无风化</v>
      </c>
      <c r="E35">
        <v>51.54</v>
      </c>
      <c r="F35">
        <v>4.66</v>
      </c>
      <c r="G35">
        <v>0.29</v>
      </c>
      <c r="H35">
        <v>0.87</v>
      </c>
      <c r="I35">
        <v>0.61</v>
      </c>
      <c r="J35">
        <v>3.06</v>
      </c>
      <c r="K35">
        <v>0.04</v>
      </c>
      <c r="L35">
        <v>0.65</v>
      </c>
      <c r="M35">
        <v>25.4</v>
      </c>
      <c r="N35">
        <v>9.23</v>
      </c>
      <c r="O35">
        <v>0.1</v>
      </c>
      <c r="P35">
        <v>0.85</v>
      </c>
      <c r="Q35">
        <v>0.04</v>
      </c>
      <c r="R35">
        <v>0.04</v>
      </c>
    </row>
    <row r="36" spans="1:18">
      <c r="A36" t="s">
        <v>73</v>
      </c>
      <c r="B36" s="1" t="str">
        <f t="shared" si="0"/>
        <v>55</v>
      </c>
      <c r="C36" t="str">
        <f>VLOOKUP(B36,表单1!$A$1:$E$59,3,FALSE)</f>
        <v>铅钡</v>
      </c>
      <c r="D36" t="str">
        <f>VLOOKUP(B36,表单1!$A$1:$E$59,5,FALSE)</f>
        <v>无风化</v>
      </c>
      <c r="E36">
        <v>49.01</v>
      </c>
      <c r="F36">
        <v>2.71</v>
      </c>
      <c r="G36">
        <v>0.04</v>
      </c>
      <c r="H36">
        <v>1.13</v>
      </c>
      <c r="I36">
        <v>0.04</v>
      </c>
      <c r="J36">
        <v>1.45</v>
      </c>
      <c r="K36">
        <v>0.04</v>
      </c>
      <c r="L36">
        <v>0.86</v>
      </c>
      <c r="M36">
        <v>32.92</v>
      </c>
      <c r="N36">
        <v>7.95</v>
      </c>
      <c r="O36">
        <v>0.35</v>
      </c>
      <c r="P36">
        <v>0.04</v>
      </c>
      <c r="Q36">
        <v>0.04</v>
      </c>
      <c r="R36">
        <v>0.04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表单1</vt:lpstr>
      <vt:lpstr>表单2</vt:lpstr>
      <vt:lpstr>表单2 (2)</vt:lpstr>
      <vt:lpstr>表单2 (4)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JL</cp:lastModifiedBy>
  <dcterms:created xsi:type="dcterms:W3CDTF">2025-08-27T07:05:00Z</dcterms:created>
  <dcterms:modified xsi:type="dcterms:W3CDTF">2025-08-28T08:58:56Z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08646C51104E4C9B966CD3D8FEC994A6_12</vt:lpwstr>
  </property>
  <property fmtid="{D5CDD505-2E9C-101B-9397-08002B2CF9AE}" pid="3" name="KSOProductBuildVer">
    <vt:lpwstr>2052-12.1.0.21915</vt:lpwstr>
  </property>
</Properties>
</file>